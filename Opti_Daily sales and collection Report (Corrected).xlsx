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4" autoFilterDateGrouping="1"/>
  </bookViews>
  <sheets>
    <sheet xmlns:r="http://schemas.openxmlformats.org/officeDocument/2006/relationships" name="Live Weight" sheetId="1" state="hidden" r:id="rId1"/>
    <sheet xmlns:r="http://schemas.openxmlformats.org/officeDocument/2006/relationships" name="Shop sales (2)" sheetId="2" state="visible" r:id="rId2"/>
    <sheet xmlns:r="http://schemas.openxmlformats.org/officeDocument/2006/relationships" name="Kigamboni" sheetId="3" state="visible" r:id="rId3"/>
    <sheet xmlns:r="http://schemas.openxmlformats.org/officeDocument/2006/relationships" name="Utumbo" sheetId="4" state="visible" r:id="rId4"/>
    <sheet xmlns:r="http://schemas.openxmlformats.org/officeDocument/2006/relationships" name="Kisutu" sheetId="5" state="visible" r:id="rId5"/>
  </sheets>
  <definedNames>
    <definedName name="_xlnm.Print_Area" localSheetId="0">'Live Weight'!$B$2:$M$39</definedName>
    <definedName name="_xlnm.Print_Area" localSheetId="1">'Shop sales (2)'!$A$1:$I$43</definedName>
    <definedName name="_xlnm.Print_Area" localSheetId="2">'Kigamboni'!$A$1:$R$40</definedName>
    <definedName name="_xlnm.Print_Area" localSheetId="3">'Utumbo'!$A$1:$J$46</definedName>
    <definedName name="_xlnm.Print_Area" localSheetId="4">'Kisutu'!$A$1:$R$40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medium">
        <color indexed="64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ashed">
        <color auto="1"/>
      </right>
      <top style="medium">
        <color indexed="64"/>
      </top>
      <bottom style="dashed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</borders>
  <cellStyleXfs count="2">
    <xf numFmtId="0" fontId="2" fillId="0" borderId="0"/>
    <xf numFmtId="43" fontId="2" fillId="0" borderId="0"/>
  </cellStyleXfs>
  <cellXfs count="11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applyAlignment="1" pivotButton="0" quotePrefix="0" xfId="0">
      <alignment horizontal="center"/>
    </xf>
    <xf numFmtId="0" fontId="0" fillId="0" borderId="14" pivotButton="0" quotePrefix="0" xfId="0"/>
    <xf numFmtId="0" fontId="0" fillId="0" borderId="15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0" fillId="0" borderId="7" applyAlignment="1" pivotButton="0" quotePrefix="0" xfId="0">
      <alignment horizontal="center"/>
    </xf>
    <xf numFmtId="0" fontId="0" fillId="0" borderId="8" pivotButton="0" quotePrefix="0" xfId="0"/>
    <xf numFmtId="0" fontId="0" fillId="0" borderId="10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0" fillId="0" borderId="18" applyAlignment="1" pivotButton="0" quotePrefix="0" xfId="0">
      <alignment horizontal="center"/>
    </xf>
    <xf numFmtId="0" fontId="0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7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31" pivotButton="0" quotePrefix="0" xfId="0"/>
    <xf numFmtId="0" fontId="1" fillId="0" borderId="3" pivotButton="0" quotePrefix="0" xfId="0"/>
    <xf numFmtId="0" fontId="1" fillId="0" borderId="6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0" fillId="0" borderId="32" pivotButton="0" quotePrefix="0" xfId="0"/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21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1" pivotButton="0" quotePrefix="0" xfId="0"/>
    <xf numFmtId="0" fontId="0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31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0" fillId="0" borderId="34" applyAlignment="1" pivotButton="0" quotePrefix="0" xfId="0">
      <alignment horizontal="center"/>
    </xf>
    <xf numFmtId="0" fontId="1" fillId="0" borderId="35" pivotButton="0" quotePrefix="0" xfId="0"/>
    <xf numFmtId="0" fontId="1" fillId="0" borderId="36" pivotButton="0" quotePrefix="0" xfId="0"/>
    <xf numFmtId="0" fontId="1" fillId="0" borderId="36" applyAlignment="1" pivotButton="0" quotePrefix="0" xfId="0">
      <alignment horizontal="center"/>
    </xf>
    <xf numFmtId="0" fontId="1" fillId="0" borderId="37" pivotButton="0" quotePrefix="0" xfId="0"/>
    <xf numFmtId="14" fontId="0" fillId="0" borderId="26" pivotButton="0" quotePrefix="0" xfId="0"/>
    <xf numFmtId="164" fontId="0" fillId="0" borderId="26" pivotButton="0" quotePrefix="0" xfId="1"/>
    <xf numFmtId="164" fontId="0" fillId="0" borderId="29" applyAlignment="1" pivotButton="0" quotePrefix="0" xfId="1">
      <alignment horizontal="center"/>
    </xf>
    <xf numFmtId="164" fontId="0" fillId="0" borderId="30" applyAlignment="1" pivotButton="0" quotePrefix="0" xfId="1">
      <alignment horizontal="center"/>
    </xf>
    <xf numFmtId="164" fontId="0" fillId="0" borderId="26" applyAlignment="1" pivotButton="0" quotePrefix="0" xfId="1">
      <alignment horizontal="center"/>
    </xf>
    <xf numFmtId="164" fontId="0" fillId="0" borderId="23" pivotButton="0" quotePrefix="0" xfId="1"/>
    <xf numFmtId="164" fontId="0" fillId="0" borderId="24" applyAlignment="1" pivotButton="0" quotePrefix="0" xfId="1">
      <alignment horizontal="center"/>
    </xf>
    <xf numFmtId="164" fontId="0" fillId="0" borderId="25" applyAlignment="1" pivotButton="0" quotePrefix="0" xfId="1">
      <alignment horizontal="center"/>
    </xf>
    <xf numFmtId="164" fontId="0" fillId="0" borderId="23" applyAlignment="1" pivotButton="0" quotePrefix="0" xfId="1">
      <alignment horizontal="center"/>
    </xf>
    <xf numFmtId="164" fontId="1" fillId="0" borderId="4" applyAlignment="1" pivotButton="0" quotePrefix="0" xfId="1">
      <alignment horizontal="center"/>
    </xf>
    <xf numFmtId="164" fontId="1" fillId="0" borderId="4" pivotButton="0" quotePrefix="0" xfId="1"/>
    <xf numFmtId="164" fontId="1" fillId="0" borderId="4" applyAlignment="1" pivotButton="0" quotePrefix="0" xfId="1">
      <alignment horizontal="center"/>
    </xf>
    <xf numFmtId="164" fontId="0" fillId="0" borderId="0" pivotButton="0" quotePrefix="0" xfId="1"/>
    <xf numFmtId="164" fontId="0" fillId="0" borderId="32" pivotButton="0" quotePrefix="0" xfId="1"/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0" fillId="0" borderId="17" pivotButton="0" quotePrefix="0" xfId="0"/>
    <xf numFmtId="0" fontId="0" fillId="0" borderId="19" pivotButton="0" quotePrefix="0" xfId="0"/>
    <xf numFmtId="164" fontId="0" fillId="0" borderId="0" pivotButton="0" quotePrefix="0" xfId="1"/>
    <xf numFmtId="0" fontId="1" fillId="0" borderId="20" applyAlignment="1" pivotButton="0" quotePrefix="0" xfId="0">
      <alignment horizontal="center" vertical="center" wrapText="1"/>
    </xf>
    <xf numFmtId="0" fontId="0" fillId="0" borderId="22" pivotButton="0" quotePrefix="0" xfId="0"/>
    <xf numFmtId="164" fontId="0" fillId="0" borderId="26" pivotButton="0" quotePrefix="0" xfId="1"/>
    <xf numFmtId="164" fontId="0" fillId="0" borderId="41" applyAlignment="1" pivotButton="0" quotePrefix="0" xfId="1">
      <alignment horizontal="center"/>
    </xf>
    <xf numFmtId="0" fontId="0" fillId="0" borderId="30" pivotButton="0" quotePrefix="0" xfId="0"/>
    <xf numFmtId="164" fontId="0" fillId="0" borderId="26" applyAlignment="1" pivotButton="0" quotePrefix="0" xfId="1">
      <alignment horizontal="center"/>
    </xf>
    <xf numFmtId="164" fontId="0" fillId="0" borderId="23" pivotButton="0" quotePrefix="0" xfId="1"/>
    <xf numFmtId="164" fontId="0" fillId="0" borderId="23" applyAlignment="1" pivotButton="0" quotePrefix="0" xfId="1">
      <alignment horizontal="center"/>
    </xf>
    <xf numFmtId="0" fontId="0" fillId="0" borderId="25" pivotButton="0" quotePrefix="0" xfId="0"/>
    <xf numFmtId="164" fontId="1" fillId="0" borderId="4" applyAlignment="1" pivotButton="0" quotePrefix="0" xfId="1">
      <alignment horizontal="center"/>
    </xf>
    <xf numFmtId="164" fontId="1" fillId="0" borderId="4" pivotButton="0" quotePrefix="0" xfId="1"/>
    <xf numFmtId="0" fontId="0" fillId="0" borderId="41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164" fontId="0" fillId="0" borderId="32" pivotButton="0" quotePrefix="0" xfId="1"/>
  </cellXfs>
  <cellStyles count="2">
    <cellStyle name="Normal" xfId="0" builtinId="0"/>
    <cellStyle name="Comma" xfId="1" builtinId="3"/>
  </cellStyles>
  <dxfs count="5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drawing1.xml><?xml version="1.0" encoding="utf-8"?>
<wsDr xmlns="http://schemas.openxmlformats.org/drawingml/2006/spreadsheetDrawing">
  <twoCellAnchor editAs="oneCell">
    <from>
      <col>11</col>
      <colOff>14008</colOff>
      <row>2</row>
      <rowOff>169964</rowOff>
    </from>
    <to>
      <col>12</col>
      <colOff>367884</colOff>
      <row>6</row>
      <rowOff>114061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4251" t="21919" r="16396" b="1780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907151" y="576177"/>
          <a:ext cx="1089262" cy="70049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7</col>
      <colOff>350183</colOff>
      <row>2</row>
      <rowOff>153570</rowOff>
    </from>
    <to>
      <col>8</col>
      <colOff>663404</colOff>
      <row>5</row>
      <rowOff>133069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4251" t="21919" r="16396" b="1780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43014" y="643827"/>
          <a:ext cx="1111640" cy="7148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14</col>
      <colOff>41353</colOff>
      <row>1</row>
      <rowOff>64909</rowOff>
    </from>
    <to>
      <col>16</col>
      <colOff>98051</colOff>
      <row>5</row>
      <rowOff>128670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4251" t="21919" r="16396" b="1780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830967" y="268016"/>
          <a:ext cx="1275338" cy="82015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7</col>
      <colOff>405545</colOff>
      <row>1</row>
      <rowOff>127942</rowOff>
    </from>
    <to>
      <col>9</col>
      <colOff>462243</colOff>
      <row>5</row>
      <rowOff>191703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4251" t="21919" r="16396" b="1780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971942" y="331049"/>
          <a:ext cx="1275338" cy="82015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14</col>
      <colOff>41353</colOff>
      <row>1</row>
      <rowOff>64909</rowOff>
    </from>
    <to>
      <col>15</col>
      <colOff>532279</colOff>
      <row>5</row>
      <rowOff>128670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4251" t="21919" r="16396" b="1780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118678" y="264934"/>
          <a:ext cx="1275898" cy="82576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view="pageBreakPreview" zoomScale="136" zoomScaleNormal="97" workbookViewId="0">
      <selection activeCell="E30" sqref="E30"/>
    </sheetView>
  </sheetViews>
  <sheetFormatPr baseColWidth="8" defaultRowHeight="15"/>
  <cols>
    <col width="8.28515625" bestFit="1" customWidth="1" style="72" min="2" max="2"/>
    <col width="11" bestFit="1" customWidth="1" style="72" min="3" max="4"/>
    <col width="11.85546875" customWidth="1" style="72" min="5" max="5"/>
    <col width="11" bestFit="1" customWidth="1" style="72" min="6" max="13"/>
  </cols>
  <sheetData>
    <row r="1" ht="15.75" customHeight="1" s="72" thickBot="1"/>
    <row r="2" ht="15.75" customHeight="1" s="72" thickBot="1">
      <c r="B2" s="96" t="inlineStr">
        <is>
          <t>OPTIFIRST TZ LIMITED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2" t="n"/>
      <c r="N2" s="8" t="n"/>
      <c r="O2" s="8" t="n"/>
    </row>
    <row r="3">
      <c r="B3" s="97" t="inlineStr">
        <is>
          <t>Movement of materials from production to the warehouse</t>
        </is>
      </c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9" t="n"/>
      <c r="N3" s="8" t="n"/>
      <c r="O3" s="8" t="n"/>
    </row>
    <row r="4">
      <c r="B4" s="58" t="n"/>
      <c r="C4" s="68" t="n"/>
      <c r="D4" s="68" t="n"/>
      <c r="I4" s="68" t="n"/>
      <c r="M4" s="2" t="n"/>
    </row>
    <row r="5">
      <c r="B5" s="58" t="n"/>
      <c r="C5" s="68" t="n"/>
      <c r="D5" s="68" t="n"/>
      <c r="I5" s="68" t="n"/>
      <c r="M5" s="2" t="n"/>
    </row>
    <row r="6">
      <c r="B6" s="58" t="n"/>
      <c r="C6" s="68" t="n"/>
      <c r="D6" s="68" t="n"/>
      <c r="J6" s="68" t="n"/>
      <c r="M6" s="2" t="n"/>
    </row>
    <row r="7" ht="15.75" customHeight="1" s="72" thickBot="1">
      <c r="B7" s="58" t="n"/>
      <c r="C7" s="68" t="n"/>
      <c r="D7" s="68" t="n"/>
      <c r="J7" s="68" t="n"/>
      <c r="M7" s="2" t="n"/>
    </row>
    <row r="8" ht="15.75" customHeight="1" s="72" thickBot="1">
      <c r="B8" s="10" t="inlineStr">
        <is>
          <t>Range</t>
        </is>
      </c>
      <c r="C8" s="11" t="inlineStr">
        <is>
          <t>Birds/Crate</t>
        </is>
      </c>
      <c r="D8" s="11" t="inlineStr">
        <is>
          <t>Birds/Crate</t>
        </is>
      </c>
      <c r="E8" s="11" t="inlineStr">
        <is>
          <t>Birds/Crate</t>
        </is>
      </c>
      <c r="F8" s="11" t="inlineStr">
        <is>
          <t>Birds/Crate</t>
        </is>
      </c>
      <c r="G8" s="11" t="inlineStr">
        <is>
          <t>Birds/Crate</t>
        </is>
      </c>
      <c r="H8" s="11" t="inlineStr">
        <is>
          <t>Birds/Crate</t>
        </is>
      </c>
      <c r="I8" s="11" t="inlineStr">
        <is>
          <t>Birds/Crate</t>
        </is>
      </c>
      <c r="J8" s="11" t="inlineStr">
        <is>
          <t>Birds/Crate</t>
        </is>
      </c>
      <c r="K8" s="11" t="inlineStr">
        <is>
          <t>Birds/Crate</t>
        </is>
      </c>
      <c r="L8" s="11" t="inlineStr">
        <is>
          <t>Birds/Crate</t>
        </is>
      </c>
      <c r="M8" s="12" t="inlineStr">
        <is>
          <t>Total</t>
        </is>
      </c>
      <c r="N8" s="3" t="n"/>
      <c r="O8" s="3" t="n"/>
    </row>
    <row r="9">
      <c r="B9" s="16" t="inlineStr">
        <is>
          <t>700 gm</t>
        </is>
      </c>
      <c r="C9" s="13" t="n"/>
      <c r="D9" s="13" t="n"/>
      <c r="E9" s="25" t="n"/>
      <c r="F9" s="13" t="n"/>
      <c r="G9" s="13" t="n"/>
      <c r="H9" s="13" t="n"/>
      <c r="I9" s="13" t="n"/>
      <c r="J9" s="13" t="n"/>
      <c r="K9" s="13" t="n"/>
      <c r="L9" s="13" t="n"/>
      <c r="M9" s="17">
        <f>SUM(C9:L9)</f>
        <v/>
      </c>
    </row>
    <row r="10">
      <c r="B10" s="18" t="inlineStr">
        <is>
          <t>800 gm</t>
        </is>
      </c>
      <c r="C10" s="14" t="n"/>
      <c r="D10" s="14" t="n"/>
      <c r="E10" s="23" t="n"/>
      <c r="F10" s="13" t="n"/>
      <c r="G10" s="13" t="n"/>
      <c r="H10" s="13" t="n"/>
      <c r="I10" s="13" t="n"/>
      <c r="J10" s="13" t="n"/>
      <c r="K10" s="13" t="n"/>
      <c r="L10" s="13" t="n"/>
      <c r="M10" s="17">
        <f>SUM(C10:L10)</f>
        <v/>
      </c>
    </row>
    <row r="11">
      <c r="B11" s="18" t="inlineStr">
        <is>
          <t>900 gm</t>
        </is>
      </c>
      <c r="C11" s="14" t="n"/>
      <c r="D11" s="14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7">
        <f>SUM(C11:L11)</f>
        <v/>
      </c>
    </row>
    <row r="12">
      <c r="B12" s="18" t="inlineStr">
        <is>
          <t>1000 gm</t>
        </is>
      </c>
      <c r="C12" s="14" t="n"/>
      <c r="D12" s="14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7">
        <f>SUM(C12:L12)</f>
        <v/>
      </c>
    </row>
    <row r="13">
      <c r="B13" s="18" t="inlineStr">
        <is>
          <t>1100 gm</t>
        </is>
      </c>
      <c r="C13" s="14" t="n"/>
      <c r="D13" s="14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7">
        <f>SUM(C13:L13)</f>
        <v/>
      </c>
    </row>
    <row r="14">
      <c r="B14" s="18" t="inlineStr">
        <is>
          <t>1200 gm</t>
        </is>
      </c>
      <c r="C14" s="14" t="n"/>
      <c r="D14" s="14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7">
        <f>SUM(C14:L14)</f>
        <v/>
      </c>
    </row>
    <row r="15">
      <c r="B15" s="18" t="inlineStr">
        <is>
          <t>1300 gm</t>
        </is>
      </c>
      <c r="C15" s="14" t="n"/>
      <c r="D15" s="14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7">
        <f>SUM(C15:L15)</f>
        <v/>
      </c>
    </row>
    <row r="16">
      <c r="B16" s="18" t="inlineStr">
        <is>
          <t>1400 gm</t>
        </is>
      </c>
      <c r="C16" s="14" t="n"/>
      <c r="D16" s="14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7">
        <f>SUM(C16:L16)</f>
        <v/>
      </c>
    </row>
    <row r="17">
      <c r="B17" s="18" t="inlineStr">
        <is>
          <t>1500 gm</t>
        </is>
      </c>
      <c r="C17" s="14" t="n"/>
      <c r="D17" s="14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7">
        <f>SUM(C17:L17)</f>
        <v/>
      </c>
    </row>
    <row r="18">
      <c r="B18" s="18" t="inlineStr">
        <is>
          <t>1600 gm</t>
        </is>
      </c>
      <c r="C18" s="14" t="n"/>
      <c r="D18" s="14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7">
        <f>SUM(C18:L18)</f>
        <v/>
      </c>
    </row>
    <row r="19">
      <c r="B19" s="18" t="inlineStr">
        <is>
          <t>1700 gm</t>
        </is>
      </c>
      <c r="C19" s="14" t="n"/>
      <c r="D19" s="14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7">
        <f>SUM(C19:L19)</f>
        <v/>
      </c>
    </row>
    <row r="20">
      <c r="B20" s="18" t="inlineStr">
        <is>
          <t>1800 gm</t>
        </is>
      </c>
      <c r="C20" s="14" t="n"/>
      <c r="D20" s="14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7">
        <f>SUM(C20:L20)</f>
        <v/>
      </c>
    </row>
    <row r="21">
      <c r="B21" s="18" t="inlineStr">
        <is>
          <t>1900 gm</t>
        </is>
      </c>
      <c r="C21" s="14" t="n"/>
      <c r="D21" s="14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7">
        <f>SUM(C21:L21)</f>
        <v/>
      </c>
    </row>
    <row r="22">
      <c r="B22" s="18" t="inlineStr">
        <is>
          <t>2000 gm</t>
        </is>
      </c>
      <c r="C22" s="14" t="n"/>
      <c r="D22" s="14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7">
        <f>SUM(C22:L22)</f>
        <v/>
      </c>
    </row>
    <row r="23">
      <c r="B23" s="18" t="inlineStr">
        <is>
          <t>2100 gm</t>
        </is>
      </c>
      <c r="C23" s="14" t="n"/>
      <c r="D23" s="14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7">
        <f>SUM(C23:L23)</f>
        <v/>
      </c>
    </row>
    <row r="24">
      <c r="B24" s="18" t="inlineStr">
        <is>
          <t>2200 gm</t>
        </is>
      </c>
      <c r="C24" s="14" t="n"/>
      <c r="D24" s="14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7">
        <f>SUM(C24:L24)</f>
        <v/>
      </c>
    </row>
    <row r="25">
      <c r="B25" s="18" t="inlineStr">
        <is>
          <t>2300 gm</t>
        </is>
      </c>
      <c r="C25" s="14" t="n"/>
      <c r="D25" s="14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7">
        <f>SUM(C25:L25)</f>
        <v/>
      </c>
    </row>
    <row r="26">
      <c r="B26" s="18" t="inlineStr">
        <is>
          <t>2400 gm</t>
        </is>
      </c>
      <c r="C26" s="14" t="n"/>
      <c r="D26" s="14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7">
        <f>SUM(C26:L26)</f>
        <v/>
      </c>
    </row>
    <row r="27">
      <c r="B27" s="18" t="inlineStr">
        <is>
          <t>2500 gm</t>
        </is>
      </c>
      <c r="C27" s="14" t="n"/>
      <c r="D27" s="14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7">
        <f>SUM(C27:L27)</f>
        <v/>
      </c>
    </row>
    <row r="28" ht="15.75" customHeight="1" s="72" thickBot="1">
      <c r="B28" s="18" t="inlineStr">
        <is>
          <t>2600 gm</t>
        </is>
      </c>
      <c r="C28" s="15" t="n"/>
      <c r="D28" s="15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7">
        <f>SUM(C28:L28)</f>
        <v/>
      </c>
    </row>
    <row r="29" ht="15.75" customHeight="1" s="72" thickBot="1">
      <c r="B29" s="19" t="n"/>
      <c r="C29" s="20" t="n"/>
      <c r="D29" s="20" t="n"/>
      <c r="E29" s="64" t="n"/>
      <c r="F29" s="64" t="n"/>
      <c r="G29" s="20" t="n"/>
      <c r="H29" s="20" t="n"/>
      <c r="I29" s="20" t="n"/>
      <c r="J29" s="64" t="n"/>
      <c r="K29" s="20" t="n"/>
      <c r="L29" s="20" t="n"/>
      <c r="M29" s="22" t="n"/>
    </row>
    <row r="30">
      <c r="B30" s="67" t="n"/>
      <c r="D30" s="9" t="inlineStr">
        <is>
          <t>LIVE WEIGHT DETAILS</t>
        </is>
      </c>
      <c r="I30" s="9" t="inlineStr">
        <is>
          <t>MORTALITY &amp; SHORTAGE</t>
        </is>
      </c>
      <c r="M30" s="2" t="n"/>
    </row>
    <row r="31">
      <c r="B31" s="67" t="n"/>
      <c r="C31" s="7" t="n"/>
      <c r="D31" s="68" t="inlineStr">
        <is>
          <t>Total No of Crates</t>
        </is>
      </c>
      <c r="E31">
        <f>SUMPRODUCT(C9:L28&gt;0)</f>
        <v/>
      </c>
      <c r="I31" s="68" t="inlineStr">
        <is>
          <t>Dead on Arrival (DOA)</t>
        </is>
      </c>
      <c r="J31" s="7" t="n"/>
      <c r="K31" s="7" t="n"/>
      <c r="L31" s="7" t="n"/>
      <c r="M31" s="2" t="n"/>
    </row>
    <row r="32">
      <c r="B32" s="67" t="n"/>
      <c r="C32" s="7" t="n"/>
      <c r="D32" s="68" t="inlineStr">
        <is>
          <t>Total Birds</t>
        </is>
      </c>
      <c r="E32">
        <f>SUM(M9:M28)</f>
        <v/>
      </c>
      <c r="I32" s="68" t="inlineStr">
        <is>
          <t>Injured / Unfit Birds</t>
        </is>
      </c>
      <c r="J32" s="7" t="n"/>
      <c r="K32" s="7" t="n"/>
      <c r="L32" s="7" t="n"/>
      <c r="M32" s="2" t="n"/>
    </row>
    <row r="33">
      <c r="B33" s="67" t="n"/>
      <c r="C33" s="7" t="n"/>
      <c r="D33" s="68" t="inlineStr">
        <is>
          <t>Net Live Weight (Birds Only) KG</t>
        </is>
      </c>
      <c r="E33">
        <f>SUMPRODUCT(M9:M28,{0.7;0.8;0.9;1;1.1;1.2;1.3;1.4;1.5;1.6;1.7;1.8;1.9;2;2.1;2.2;2.3;2.4;2.5;2.6})</f>
        <v/>
      </c>
      <c r="I33" s="68" t="inlineStr">
        <is>
          <t>Shortage (if any)</t>
        </is>
      </c>
      <c r="J33" s="7" t="n"/>
      <c r="K33" s="7" t="n"/>
      <c r="L33" s="7" t="n"/>
      <c r="M33" s="2" t="n"/>
    </row>
    <row r="34">
      <c r="B34" s="67" t="n"/>
      <c r="C34" s="7" t="n"/>
      <c r="D34" s="68" t="inlineStr">
        <is>
          <t>Avg Live Weight (Birds Only) KG</t>
        </is>
      </c>
      <c r="E34">
        <f>IF(E32&gt;0,E33/E32,0)</f>
        <v/>
      </c>
      <c r="I34" s="68" t="inlineStr">
        <is>
          <t>Net Accepted Birds</t>
        </is>
      </c>
      <c r="J34" s="7">
        <f>IF(E32&gt;0,E32-J31-J32-J33,0)</f>
        <v/>
      </c>
      <c r="K34" s="7" t="n"/>
      <c r="L34" s="7" t="n"/>
      <c r="M34" s="2" t="n"/>
    </row>
    <row r="35" ht="15.75" customHeight="1" s="72" thickBot="1">
      <c r="B35" s="67" t="n"/>
      <c r="M35" s="2" t="n"/>
    </row>
    <row r="36" ht="15.75" customFormat="1" customHeight="1" s="3" thickBot="1">
      <c r="B36" s="10" t="n"/>
      <c r="C36" s="11" t="n"/>
      <c r="D36" s="47" t="inlineStr">
        <is>
          <t>Name</t>
        </is>
      </c>
      <c r="E36" s="20" t="n"/>
      <c r="F36" s="11" t="inlineStr">
        <is>
          <t>Signature</t>
        </is>
      </c>
      <c r="G36" s="11" t="inlineStr">
        <is>
          <t>Time</t>
        </is>
      </c>
      <c r="H36" s="11" t="n"/>
      <c r="I36" s="11" t="n"/>
      <c r="J36" s="47" t="inlineStr">
        <is>
          <t>Name</t>
        </is>
      </c>
      <c r="K36" s="20" t="n"/>
      <c r="L36" s="11" t="inlineStr">
        <is>
          <t>Signature</t>
        </is>
      </c>
      <c r="M36" s="12" t="inlineStr">
        <is>
          <t>Time</t>
        </is>
      </c>
    </row>
    <row r="37">
      <c r="B37" s="58" t="inlineStr">
        <is>
          <t>Farm Supervisor</t>
        </is>
      </c>
      <c r="H37" t="inlineStr">
        <is>
          <t>Slaughter QC / Vet</t>
        </is>
      </c>
      <c r="I37" s="68" t="n"/>
      <c r="J37" s="68" t="n"/>
      <c r="M37" s="2" t="n"/>
    </row>
    <row r="38" ht="15.75" customHeight="1" s="72" thickBot="1">
      <c r="B38" s="65" t="inlineStr">
        <is>
          <t>Driver</t>
        </is>
      </c>
      <c r="C38" s="71" t="n"/>
      <c r="D38" s="71" t="n"/>
      <c r="E38" s="71" t="n"/>
      <c r="F38" s="71" t="n"/>
      <c r="G38" s="71" t="n"/>
      <c r="H38" s="71" t="inlineStr">
        <is>
          <t>Slaughter Incharge</t>
        </is>
      </c>
      <c r="I38" s="66" t="n"/>
      <c r="J38" s="71" t="n"/>
      <c r="K38" s="71" t="n"/>
      <c r="L38" s="71" t="n"/>
      <c r="M38" s="5" t="n"/>
    </row>
    <row r="39" ht="15.75" customHeight="1" s="72" thickBot="1">
      <c r="B39" s="70" t="n"/>
      <c r="C39" s="71" t="n"/>
      <c r="D39" s="71" t="n"/>
      <c r="E39" s="71" t="n"/>
      <c r="F39" s="71" t="n"/>
      <c r="G39" s="71" t="n"/>
      <c r="H39" s="71" t="n"/>
      <c r="I39" s="71" t="n"/>
      <c r="J39" s="71" t="n"/>
      <c r="K39" s="71" t="n"/>
      <c r="L39" s="71" t="n"/>
      <c r="M39" s="5" t="n"/>
    </row>
  </sheetData>
  <mergeCells count="10">
    <mergeCell ref="B2:M2"/>
    <mergeCell ref="B38:C38"/>
    <mergeCell ref="I4:J4"/>
    <mergeCell ref="I38:J38"/>
    <mergeCell ref="B3:M3"/>
    <mergeCell ref="B37:C37"/>
    <mergeCell ref="I5:J5"/>
    <mergeCell ref="D36:E36"/>
    <mergeCell ref="J36:K36"/>
    <mergeCell ref="J29:L29"/>
  </mergeCells>
  <pageMargins left="0.7" right="0.28" top="0.31" bottom="0.75" header="0.3" footer="0.3"/>
  <pageSetup orientation="landscape" scale="9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view="pageBreakPreview" zoomScale="136" zoomScaleNormal="97" workbookViewId="0">
      <selection activeCell="B8" sqref="B8:I9"/>
    </sheetView>
  </sheetViews>
  <sheetFormatPr baseColWidth="8" defaultRowHeight="20.1" customHeight="1"/>
  <cols>
    <col width="5.7109375" bestFit="1" customWidth="1" style="72" min="1" max="1"/>
    <col width="25.28515625" customWidth="1" style="72" min="2" max="2"/>
    <col width="5.7109375" bestFit="1" customWidth="1" style="72" min="3" max="3"/>
    <col width="8.7109375" bestFit="1" customWidth="1" style="72" min="4" max="4"/>
    <col width="9.5703125" customWidth="1" style="72" min="5" max="5"/>
    <col width="12.85546875" customWidth="1" style="72" min="6" max="6"/>
    <col width="13.140625" customWidth="1" style="72" min="7" max="7"/>
    <col width="12" bestFit="1" customWidth="1" style="72" min="8" max="8"/>
    <col width="15.42578125" bestFit="1" customWidth="1" style="72" min="9" max="9"/>
  </cols>
  <sheetData>
    <row r="1" ht="20.1" customHeight="1" s="72" thickBot="1">
      <c r="A1" s="96" t="inlineStr">
        <is>
          <t>OPTIFIRST TZ LIMITED</t>
        </is>
      </c>
      <c r="B1" s="20" t="n"/>
      <c r="C1" s="20" t="n"/>
      <c r="D1" s="20" t="n"/>
      <c r="E1" s="20" t="n"/>
      <c r="F1" s="20" t="n"/>
      <c r="G1" s="20" t="n"/>
      <c r="H1" s="20" t="n"/>
      <c r="I1" s="22" t="n"/>
    </row>
    <row r="2" ht="20.1" customHeight="1" s="72">
      <c r="A2" s="97" t="inlineStr">
        <is>
          <t xml:space="preserve">Daily sales </t>
        </is>
      </c>
      <c r="B2" s="98" t="n"/>
      <c r="C2" s="98" t="n"/>
      <c r="D2" s="98" t="n"/>
      <c r="E2" s="98" t="n"/>
      <c r="F2" s="98" t="n"/>
      <c r="G2" s="98" t="n"/>
      <c r="H2" s="98" t="n"/>
      <c r="I2" s="99" t="n"/>
    </row>
    <row r="3" ht="20.1" customHeight="1" s="72">
      <c r="A3" s="67" t="inlineStr">
        <is>
          <t>KUKU Shop :</t>
        </is>
      </c>
      <c r="G3" s="74" t="n"/>
      <c r="I3" s="2" t="n"/>
    </row>
    <row r="4" ht="20.1" customHeight="1" s="72">
      <c r="A4" s="67" t="inlineStr">
        <is>
          <t>Date :</t>
        </is>
      </c>
      <c r="G4" s="74" t="n"/>
      <c r="I4" s="2" t="n"/>
    </row>
    <row r="5" ht="20.1" customHeight="1" s="72">
      <c r="A5" s="67" t="inlineStr">
        <is>
          <t>Incharge Name:</t>
        </is>
      </c>
      <c r="I5" s="74" t="n"/>
    </row>
    <row r="6" ht="20.1" customHeight="1" s="72" thickBot="1">
      <c r="A6" s="70" t="inlineStr">
        <is>
          <t>Incharge Contact:</t>
        </is>
      </c>
      <c r="B6" s="71" t="n"/>
      <c r="I6" s="74" t="n"/>
    </row>
    <row r="7" ht="20.1" customHeight="1" s="72" thickBot="1">
      <c r="A7" s="36" t="inlineStr">
        <is>
          <t>Sl.No</t>
        </is>
      </c>
      <c r="B7" s="36" t="inlineStr">
        <is>
          <t>Description</t>
        </is>
      </c>
      <c r="C7" s="60" t="inlineStr">
        <is>
          <t>UOM</t>
        </is>
      </c>
      <c r="D7" s="36" t="inlineStr">
        <is>
          <t>Quanitty</t>
        </is>
      </c>
      <c r="E7" s="60" t="inlineStr">
        <is>
          <t>Rate</t>
        </is>
      </c>
      <c r="F7" s="60" t="inlineStr">
        <is>
          <t>Cash Sales</t>
        </is>
      </c>
      <c r="G7" s="61" t="inlineStr">
        <is>
          <t>Credit sale</t>
        </is>
      </c>
      <c r="H7" s="61" t="inlineStr">
        <is>
          <t>EFD Number</t>
        </is>
      </c>
      <c r="I7" s="62" t="inlineStr">
        <is>
          <t>Customer Name</t>
        </is>
      </c>
    </row>
    <row r="8" ht="20.1" customHeight="1" s="72">
      <c r="A8" s="31" t="n">
        <v>1</v>
      </c>
      <c r="B8" s="30" t="n"/>
      <c r="C8" s="30" t="n"/>
      <c r="D8" s="30" t="n"/>
      <c r="E8" s="30" t="n"/>
      <c r="F8" s="30" t="n"/>
      <c r="G8" s="30" t="n"/>
      <c r="H8" s="30" t="n"/>
      <c r="I8" s="75" t="n"/>
    </row>
    <row r="9" ht="20.1" customHeight="1" s="72">
      <c r="A9" s="32">
        <f>+A8+1</f>
        <v/>
      </c>
      <c r="B9" s="29" t="n"/>
      <c r="C9" s="29" t="n"/>
      <c r="D9" s="29" t="n"/>
      <c r="E9" s="29" t="n"/>
      <c r="F9" s="29" t="n"/>
      <c r="G9" s="29" t="n"/>
      <c r="H9" s="29" t="n"/>
      <c r="I9" s="76" t="n"/>
    </row>
    <row r="10" ht="20.1" customHeight="1" s="72">
      <c r="A10" s="32">
        <f>+A9+1</f>
        <v/>
      </c>
      <c r="B10" s="29" t="n"/>
      <c r="C10" s="29" t="n"/>
      <c r="D10" s="29" t="n"/>
      <c r="E10" s="29" t="n"/>
      <c r="F10" s="29" t="n"/>
      <c r="G10" s="29" t="n"/>
      <c r="H10" s="29" t="n"/>
      <c r="I10" s="76" t="n"/>
    </row>
    <row r="11" ht="20.1" customHeight="1" s="72">
      <c r="A11" s="32">
        <f>+A10+1</f>
        <v/>
      </c>
      <c r="B11" s="29" t="n"/>
      <c r="C11" s="29" t="n"/>
      <c r="D11" s="29" t="n"/>
      <c r="E11" s="29" t="n"/>
      <c r="F11" s="29" t="n"/>
      <c r="G11" s="29" t="n"/>
      <c r="H11" s="29" t="n"/>
      <c r="I11" s="76" t="n"/>
    </row>
    <row r="12" ht="20.1" customHeight="1" s="72">
      <c r="A12" s="32">
        <f>+A11+1</f>
        <v/>
      </c>
      <c r="B12" s="29" t="n"/>
      <c r="C12" s="29" t="n"/>
      <c r="D12" s="29" t="n"/>
      <c r="E12" s="29" t="n"/>
      <c r="F12" s="29" t="n"/>
      <c r="G12" s="29" t="n"/>
      <c r="H12" s="29" t="n"/>
      <c r="I12" s="76" t="n"/>
    </row>
    <row r="13" ht="20.1" customHeight="1" s="72">
      <c r="A13" s="32">
        <f>+A12+1</f>
        <v/>
      </c>
      <c r="B13" s="29" t="n"/>
      <c r="C13" s="29" t="n"/>
      <c r="D13" s="29" t="n"/>
      <c r="E13" s="29" t="n"/>
      <c r="F13" s="29" t="n"/>
      <c r="G13" s="29" t="n"/>
      <c r="H13" s="29" t="n"/>
      <c r="I13" s="76" t="n"/>
    </row>
    <row r="14" ht="20.1" customHeight="1" s="72">
      <c r="A14" s="32">
        <f>+A13+1</f>
        <v/>
      </c>
      <c r="B14" s="29" t="n"/>
      <c r="C14" s="29" t="n"/>
      <c r="D14" s="29" t="n"/>
      <c r="E14" s="29" t="n"/>
      <c r="F14" s="29" t="n"/>
      <c r="G14" s="29" t="n"/>
      <c r="H14" s="29" t="n"/>
      <c r="I14" s="76" t="n"/>
    </row>
    <row r="15" ht="20.1" customHeight="1" s="72">
      <c r="A15" s="32">
        <f>+A14+1</f>
        <v/>
      </c>
      <c r="B15" s="29" t="n"/>
      <c r="C15" s="29" t="n"/>
      <c r="D15" s="29" t="n"/>
      <c r="E15" s="29" t="n"/>
      <c r="F15" s="29" t="n"/>
      <c r="G15" s="29" t="n"/>
      <c r="H15" s="29" t="n"/>
      <c r="I15" s="76" t="n"/>
    </row>
    <row r="16" ht="20.1" customHeight="1" s="72">
      <c r="A16" s="32">
        <f>+A15+1</f>
        <v/>
      </c>
      <c r="B16" s="29" t="n"/>
      <c r="C16" s="29" t="n"/>
      <c r="D16" s="29" t="n"/>
      <c r="E16" s="29" t="n"/>
      <c r="F16" s="29" t="n"/>
      <c r="G16" s="29" t="n"/>
      <c r="H16" s="29" t="n"/>
      <c r="I16" s="76" t="n"/>
    </row>
    <row r="17" ht="20.1" customHeight="1" s="72">
      <c r="A17" s="32">
        <f>+A16+1</f>
        <v/>
      </c>
      <c r="B17" s="29" t="n"/>
      <c r="C17" s="29" t="n"/>
      <c r="D17" s="29" t="n"/>
      <c r="E17" s="29" t="n"/>
      <c r="F17" s="29" t="n"/>
      <c r="G17" s="29" t="n"/>
      <c r="H17" s="29" t="n"/>
      <c r="I17" s="76" t="n"/>
    </row>
    <row r="18" ht="20.1" customHeight="1" s="72">
      <c r="A18" s="32">
        <f>+A17+1</f>
        <v/>
      </c>
      <c r="B18" s="29" t="n"/>
      <c r="C18" s="29" t="n"/>
      <c r="D18" s="29" t="n"/>
      <c r="E18" s="29" t="n"/>
      <c r="F18" s="29" t="n"/>
      <c r="G18" s="29" t="n"/>
      <c r="H18" s="29" t="n"/>
      <c r="I18" s="76" t="n"/>
    </row>
    <row r="19" ht="20.1" customHeight="1" s="72">
      <c r="A19" s="32">
        <f>+A18+1</f>
        <v/>
      </c>
      <c r="B19" s="29" t="n"/>
      <c r="C19" s="29" t="n"/>
      <c r="D19" s="29" t="n"/>
      <c r="E19" s="29" t="n"/>
      <c r="F19" s="29" t="n"/>
      <c r="G19" s="29" t="n"/>
      <c r="H19" s="29" t="n"/>
      <c r="I19" s="76" t="n"/>
    </row>
    <row r="20" ht="20.1" customHeight="1" s="72">
      <c r="A20" s="32">
        <f>+A19+1</f>
        <v/>
      </c>
      <c r="B20" s="29" t="n"/>
      <c r="C20" s="29" t="n"/>
      <c r="D20" s="29" t="n"/>
      <c r="E20" s="29" t="n"/>
      <c r="F20" s="29" t="n"/>
      <c r="G20" s="29" t="n"/>
      <c r="H20" s="29" t="n"/>
      <c r="I20" s="76" t="n"/>
    </row>
    <row r="21" ht="20.1" customHeight="1" s="72">
      <c r="A21" s="32">
        <f>+A20+1</f>
        <v/>
      </c>
      <c r="B21" s="29" t="n"/>
      <c r="C21" s="29" t="n"/>
      <c r="D21" s="29" t="n"/>
      <c r="E21" s="29" t="n"/>
      <c r="F21" s="29" t="n"/>
      <c r="G21" s="29" t="n"/>
      <c r="H21" s="29" t="n"/>
      <c r="I21" s="76" t="n"/>
    </row>
    <row r="22" ht="20.1" customHeight="1" s="72">
      <c r="A22" s="32">
        <f>+A21+1</f>
        <v/>
      </c>
      <c r="B22" s="29" t="n"/>
      <c r="C22" s="29" t="n"/>
      <c r="D22" s="29" t="n"/>
      <c r="E22" s="29" t="n"/>
      <c r="F22" s="29" t="n"/>
      <c r="G22" s="29" t="n"/>
      <c r="H22" s="29" t="n"/>
      <c r="I22" s="76" t="n"/>
    </row>
    <row r="23" ht="20.1" customHeight="1" s="72">
      <c r="A23" s="32">
        <f>+A22+1</f>
        <v/>
      </c>
      <c r="B23" s="29" t="n"/>
      <c r="C23" s="29" t="n"/>
      <c r="D23" s="29" t="n"/>
      <c r="E23" s="29" t="n"/>
      <c r="F23" s="29" t="n"/>
      <c r="G23" s="29" t="n"/>
      <c r="H23" s="29" t="n"/>
      <c r="I23" s="76" t="n"/>
    </row>
    <row r="24" ht="20.1" customHeight="1" s="72">
      <c r="A24" s="32">
        <f>+A23+1</f>
        <v/>
      </c>
      <c r="B24" s="29" t="n"/>
      <c r="C24" s="29" t="n"/>
      <c r="D24" s="29" t="n"/>
      <c r="E24" s="29" t="n"/>
      <c r="F24" s="29" t="n"/>
      <c r="G24" s="29" t="n"/>
      <c r="H24" s="29" t="n"/>
      <c r="I24" s="76" t="n"/>
    </row>
    <row r="25" ht="20.1" customHeight="1" s="72">
      <c r="A25" s="32">
        <f>+A24+1</f>
        <v/>
      </c>
      <c r="B25" s="29" t="n"/>
      <c r="C25" s="29" t="n"/>
      <c r="D25" s="29" t="n"/>
      <c r="E25" s="29" t="n"/>
      <c r="F25" s="29" t="n"/>
      <c r="G25" s="29" t="n"/>
      <c r="H25" s="29" t="n"/>
      <c r="I25" s="76" t="n"/>
    </row>
    <row r="26" ht="20.1" customHeight="1" s="72">
      <c r="A26" s="32">
        <f>+A25+1</f>
        <v/>
      </c>
      <c r="B26" s="29" t="n"/>
      <c r="C26" s="29" t="n"/>
      <c r="D26" s="29" t="n"/>
      <c r="E26" s="29" t="n"/>
      <c r="F26" s="29" t="n"/>
      <c r="G26" s="29" t="n"/>
      <c r="H26" s="29" t="n"/>
      <c r="I26" s="76" t="n"/>
    </row>
    <row r="27" ht="20.1" customHeight="1" s="72">
      <c r="A27" s="32">
        <f>+A26+1</f>
        <v/>
      </c>
      <c r="B27" s="29" t="n"/>
      <c r="C27" s="29" t="n"/>
      <c r="D27" s="29" t="n"/>
      <c r="E27" s="29" t="n"/>
      <c r="F27" s="29" t="n"/>
      <c r="G27" s="29" t="n"/>
      <c r="H27" s="29" t="n"/>
      <c r="I27" s="76" t="n"/>
    </row>
    <row r="28" ht="20.1" customHeight="1" s="72">
      <c r="A28" s="32">
        <f>+A27+1</f>
        <v/>
      </c>
      <c r="B28" s="29" t="n"/>
      <c r="C28" s="29" t="n"/>
      <c r="D28" s="29" t="n"/>
      <c r="E28" s="29" t="n"/>
      <c r="F28" s="29" t="n"/>
      <c r="G28" s="29" t="n"/>
      <c r="H28" s="29" t="n"/>
      <c r="I28" s="76" t="n"/>
    </row>
    <row r="29" ht="20.1" customHeight="1" s="72">
      <c r="A29" s="32">
        <f>+A28+1</f>
        <v/>
      </c>
      <c r="B29" s="29" t="n"/>
      <c r="C29" s="29" t="n"/>
      <c r="D29" s="29" t="n"/>
      <c r="E29" s="29" t="n"/>
      <c r="F29" s="29" t="n"/>
      <c r="G29" s="29" t="n"/>
      <c r="H29" s="29" t="n"/>
      <c r="I29" s="76" t="n"/>
    </row>
    <row r="30" ht="20.1" customHeight="1" s="72">
      <c r="A30" s="32">
        <f>+A29+1</f>
        <v/>
      </c>
      <c r="B30" s="29" t="n"/>
      <c r="C30" s="29" t="n"/>
      <c r="D30" s="29" t="n"/>
      <c r="E30" s="29" t="n"/>
      <c r="F30" s="29" t="n"/>
      <c r="G30" s="29" t="n"/>
      <c r="H30" s="29" t="n"/>
      <c r="I30" s="76" t="n"/>
    </row>
    <row r="31" ht="20.1" customHeight="1" s="72">
      <c r="A31" s="32">
        <f>+A30+1</f>
        <v/>
      </c>
      <c r="B31" s="29" t="n"/>
      <c r="C31" s="29" t="n"/>
      <c r="D31" s="29" t="n"/>
      <c r="E31" s="29" t="n"/>
      <c r="F31" s="29" t="n"/>
      <c r="G31" s="29" t="n"/>
      <c r="H31" s="29" t="n"/>
      <c r="I31" s="76" t="n"/>
    </row>
    <row r="32" ht="20.1" customHeight="1" s="72">
      <c r="A32" s="32">
        <f>+A31+1</f>
        <v/>
      </c>
      <c r="B32" s="29" t="n"/>
      <c r="C32" s="29" t="n"/>
      <c r="D32" s="29" t="n"/>
      <c r="E32" s="29" t="n"/>
      <c r="F32" s="29" t="n"/>
      <c r="G32" s="29" t="n"/>
      <c r="H32" s="29" t="n"/>
      <c r="I32" s="76" t="n"/>
    </row>
    <row r="33" ht="20.1" customHeight="1" s="72">
      <c r="A33" s="32">
        <f>+A32+1</f>
        <v/>
      </c>
      <c r="B33" s="29" t="n"/>
      <c r="C33" s="29" t="n"/>
      <c r="D33" s="29" t="n"/>
      <c r="E33" s="29" t="n"/>
      <c r="F33" s="29" t="n"/>
      <c r="G33" s="29" t="n"/>
      <c r="H33" s="29" t="n"/>
      <c r="I33" s="76" t="n"/>
    </row>
    <row r="34" ht="20.1" customHeight="1" s="72">
      <c r="A34" s="32">
        <f>+A33+1</f>
        <v/>
      </c>
      <c r="B34" s="29" t="n"/>
      <c r="C34" s="29" t="n"/>
      <c r="D34" s="29" t="n"/>
      <c r="E34" s="29" t="n"/>
      <c r="F34" s="29" t="n"/>
      <c r="G34" s="29" t="n"/>
      <c r="H34" s="29" t="n"/>
      <c r="I34" s="76" t="n"/>
    </row>
    <row r="35" ht="20.1" customHeight="1" s="72">
      <c r="A35" s="32">
        <f>+A34+1</f>
        <v/>
      </c>
      <c r="B35" s="29" t="n"/>
      <c r="C35" s="29" t="n"/>
      <c r="D35" s="29" t="n"/>
      <c r="E35" s="29" t="n"/>
      <c r="F35" s="29" t="n"/>
      <c r="G35" s="29" t="n"/>
      <c r="H35" s="29" t="n"/>
      <c r="I35" s="76" t="n"/>
    </row>
    <row r="36" ht="20.1" customHeight="1" s="72">
      <c r="A36" s="32">
        <f>+A35+1</f>
        <v/>
      </c>
      <c r="B36" s="29" t="n"/>
      <c r="C36" s="29" t="n"/>
      <c r="D36" s="29" t="n"/>
      <c r="E36" s="29" t="n"/>
      <c r="F36" s="29" t="n"/>
      <c r="G36" s="29" t="n"/>
      <c r="H36" s="29" t="n"/>
      <c r="I36" s="76" t="n"/>
    </row>
    <row r="37" ht="20.1" customHeight="1" s="72">
      <c r="A37" s="32">
        <f>+A36+1</f>
        <v/>
      </c>
      <c r="B37" s="29" t="n"/>
      <c r="C37" s="29" t="n"/>
      <c r="D37" s="29" t="n"/>
      <c r="E37" s="29" t="n"/>
      <c r="F37" s="29" t="n"/>
      <c r="G37" s="29" t="n"/>
      <c r="H37" s="29" t="n"/>
      <c r="I37" s="76" t="n"/>
    </row>
    <row r="38" ht="20.1" customHeight="1" s="72">
      <c r="A38" s="77">
        <f>+A37+1</f>
        <v/>
      </c>
      <c r="B38" s="29" t="n"/>
      <c r="C38" s="29" t="n"/>
      <c r="D38" s="29" t="n"/>
      <c r="E38" s="29" t="n"/>
      <c r="F38" s="29" t="n"/>
      <c r="G38" s="29" t="n"/>
      <c r="H38" s="29" t="n"/>
      <c r="I38" s="76" t="n"/>
    </row>
    <row r="39" ht="20.1" customHeight="1" s="72">
      <c r="A39" s="77">
        <f>+A38+1</f>
        <v/>
      </c>
      <c r="B39" s="29" t="n"/>
      <c r="C39" s="29" t="n"/>
      <c r="D39" s="29" t="n"/>
      <c r="E39" s="29" t="n"/>
      <c r="F39" s="29" t="n"/>
      <c r="G39" s="29" t="n"/>
      <c r="H39" s="29" t="n"/>
      <c r="I39" s="76" t="n"/>
    </row>
    <row r="40" ht="20.1" customHeight="1" s="72">
      <c r="A40" s="77">
        <f>+A39+1</f>
        <v/>
      </c>
      <c r="B40" s="29" t="n"/>
      <c r="C40" s="29" t="n"/>
      <c r="D40" s="29" t="n"/>
      <c r="E40" s="29" t="n"/>
      <c r="F40" s="29" t="n"/>
      <c r="G40" s="29" t="n"/>
      <c r="H40" s="29" t="n"/>
      <c r="I40" s="76" t="n"/>
    </row>
    <row r="41" ht="20.1" customHeight="1" s="72">
      <c r="A41" s="77">
        <f>+A40+1</f>
        <v/>
      </c>
      <c r="B41" s="29" t="n"/>
      <c r="C41" s="29" t="n"/>
      <c r="D41" s="29" t="n"/>
      <c r="E41" s="29" t="n"/>
      <c r="F41" s="29" t="n"/>
      <c r="G41" s="29" t="n"/>
      <c r="H41" s="29" t="n"/>
      <c r="I41" s="76" t="n"/>
    </row>
    <row r="42" ht="20.1" customHeight="1" s="72">
      <c r="A42" s="77">
        <f>+A41+1</f>
        <v/>
      </c>
      <c r="B42" s="29" t="n"/>
      <c r="C42" s="29" t="n"/>
      <c r="D42" s="29" t="n"/>
      <c r="E42" s="29" t="n"/>
      <c r="F42" s="29" t="n"/>
      <c r="G42" s="29" t="n"/>
      <c r="H42" s="29" t="n"/>
      <c r="I42" s="76" t="n"/>
    </row>
    <row r="43" ht="20.1" customFormat="1" customHeight="1" s="3" thickBot="1">
      <c r="A43" s="78" t="n"/>
      <c r="B43" s="79" t="n"/>
      <c r="C43" s="79" t="n"/>
      <c r="D43" s="80" t="n"/>
      <c r="E43" s="80" t="n"/>
      <c r="F43" s="79" t="n"/>
      <c r="G43" s="79" t="n"/>
      <c r="H43" s="79" t="n"/>
      <c r="I43" s="81" t="n"/>
    </row>
    <row r="44" ht="20.1" customHeight="1" s="72" thickTop="1"/>
  </sheetData>
  <mergeCells count="4">
    <mergeCell ref="A1:I1"/>
    <mergeCell ref="A2:I2"/>
    <mergeCell ref="G4:I4"/>
    <mergeCell ref="G3:I3"/>
  </mergeCells>
  <pageMargins left="1" right="1" top="1" bottom="1" header="0.5" footer="0.5"/>
  <pageSetup orientation="portrait" scale="76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"/>
  <sheetViews>
    <sheetView view="pageBreakPreview" zoomScale="136" zoomScaleNormal="97" workbookViewId="0">
      <selection activeCell="D26" sqref="D26:E26"/>
    </sheetView>
  </sheetViews>
  <sheetFormatPr baseColWidth="8" defaultRowHeight="15"/>
  <cols>
    <col width="5.7109375" bestFit="1" customWidth="1" style="72" min="1" max="1"/>
    <col width="11" bestFit="1" customWidth="1" style="72" min="2" max="2"/>
    <col width="8.28515625" bestFit="1" customWidth="1" style="100" min="3" max="3"/>
    <col width="11.85546875" customWidth="1" style="100" min="4" max="4"/>
    <col width="4.5703125" customWidth="1" style="100" min="5" max="5"/>
    <col width="9.42578125" bestFit="1" customWidth="1" style="100" min="6" max="8"/>
    <col width="11.5703125" customWidth="1" style="100" min="9" max="9"/>
    <col width="9.140625" bestFit="1" customWidth="1" style="100" min="10" max="10"/>
    <col width="8.7109375" customWidth="1" style="100" min="11" max="11"/>
    <col width="10.140625" bestFit="1" customWidth="1" style="100" min="12" max="12"/>
    <col width="15.85546875" customWidth="1" style="72" min="13" max="13"/>
    <col width="11" bestFit="1" customWidth="1" style="72" min="14" max="14"/>
  </cols>
  <sheetData>
    <row r="1" ht="15.75" customHeight="1" s="72" thickBot="1">
      <c r="A1" s="96" t="inlineStr">
        <is>
          <t>OPTIFIRST TZ LIMITED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2" t="n"/>
    </row>
    <row r="2">
      <c r="A2" s="97" t="inlineStr">
        <is>
          <t>Daily sales and collection Report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  <c r="R2" s="99" t="n"/>
    </row>
    <row r="3">
      <c r="A3" s="58" t="inlineStr">
        <is>
          <t>KUKU Shop :</t>
        </is>
      </c>
      <c r="D3" t="inlineStr">
        <is>
          <t>Kigamboni shop</t>
        </is>
      </c>
      <c r="G3" s="68" t="n"/>
      <c r="I3" s="68" t="n"/>
      <c r="R3" s="2" t="n"/>
    </row>
    <row r="4">
      <c r="A4" s="58" t="inlineStr">
        <is>
          <t>Month :</t>
        </is>
      </c>
      <c r="D4">
        <f>TEXT(B9,"mmm-yy")</f>
        <v/>
      </c>
      <c r="G4" s="68" t="n"/>
      <c r="I4" s="68" t="n"/>
      <c r="R4" s="2" t="n"/>
    </row>
    <row r="5">
      <c r="A5" s="58" t="inlineStr">
        <is>
          <t>Incharge :</t>
        </is>
      </c>
      <c r="D5" t="inlineStr">
        <is>
          <t>Jazila</t>
        </is>
      </c>
      <c r="H5" s="68" t="n"/>
      <c r="I5" s="68" t="n"/>
      <c r="R5" s="2" t="n"/>
    </row>
    <row r="6" ht="15.75" customHeight="1" s="72" thickBot="1">
      <c r="A6" s="58" t="n"/>
      <c r="H6" s="68" t="n"/>
      <c r="I6" s="68" t="n"/>
      <c r="R6" s="2" t="n"/>
    </row>
    <row r="7" ht="15.75" customHeight="1" s="72" thickBot="1">
      <c r="A7" s="36" t="inlineStr">
        <is>
          <t>Sl.No</t>
        </is>
      </c>
      <c r="B7" s="36" t="inlineStr">
        <is>
          <t>Date</t>
        </is>
      </c>
      <c r="C7" s="36" t="inlineStr">
        <is>
          <t>Day</t>
        </is>
      </c>
      <c r="D7" s="36" t="inlineStr">
        <is>
          <t>Cash sales(A)</t>
        </is>
      </c>
      <c r="E7" s="99" t="n"/>
      <c r="F7" s="60" t="inlineStr">
        <is>
          <t>Credit sales(B)</t>
        </is>
      </c>
      <c r="G7" s="20" t="n"/>
      <c r="H7" s="20" t="n"/>
      <c r="I7" s="101" t="inlineStr">
        <is>
          <t>Total Sales
C=(A+B)</t>
        </is>
      </c>
      <c r="J7" s="36" t="inlineStr">
        <is>
          <t>Cash sale Deposits</t>
        </is>
      </c>
      <c r="K7" s="20" t="n"/>
      <c r="L7" s="22" t="n"/>
      <c r="M7" s="36" t="inlineStr">
        <is>
          <t>Deposit in Bank</t>
        </is>
      </c>
      <c r="N7" s="101" t="inlineStr">
        <is>
          <t>Date of Deposit</t>
        </is>
      </c>
      <c r="O7" s="101" t="inlineStr">
        <is>
          <t>EFD Z Report</t>
        </is>
      </c>
      <c r="P7" s="101" t="inlineStr">
        <is>
          <t>Sales vs EFD</t>
        </is>
      </c>
      <c r="Q7" s="36" t="inlineStr">
        <is>
          <t>Name</t>
        </is>
      </c>
      <c r="R7" s="36" t="inlineStr">
        <is>
          <t>Signature</t>
        </is>
      </c>
    </row>
    <row r="8" ht="15.75" customHeight="1" s="72" thickBot="1">
      <c r="A8" s="102" t="n"/>
      <c r="B8" s="102" t="n"/>
      <c r="C8" s="102" t="n"/>
      <c r="D8" s="70" t="n"/>
      <c r="E8" s="5" t="n"/>
      <c r="F8" s="36" t="n"/>
      <c r="G8" s="36" t="n"/>
      <c r="H8" s="60" t="n"/>
      <c r="I8" s="102" t="n"/>
      <c r="J8" s="36" t="inlineStr">
        <is>
          <t>Cash</t>
        </is>
      </c>
      <c r="K8" s="36" t="inlineStr">
        <is>
          <t>LIPA</t>
        </is>
      </c>
      <c r="L8" s="36" t="inlineStr">
        <is>
          <t>Variance</t>
        </is>
      </c>
      <c r="M8" s="102" t="n"/>
      <c r="N8" s="102" t="n"/>
      <c r="O8" s="102" t="n"/>
      <c r="P8" s="102" t="n"/>
      <c r="Q8" s="102" t="n"/>
      <c r="R8" s="102" t="n"/>
    </row>
    <row r="9">
      <c r="A9" s="31" t="n">
        <v>1</v>
      </c>
      <c r="B9" s="82" t="n">
        <v>46049</v>
      </c>
      <c r="C9" s="103">
        <f>TEXT(B9,"ddd")</f>
        <v/>
      </c>
      <c r="D9" s="104" t="n">
        <v>422400</v>
      </c>
      <c r="E9" s="105" t="n"/>
      <c r="F9" s="103" t="n">
        <v>0</v>
      </c>
      <c r="G9" s="103" t="n">
        <v>0</v>
      </c>
      <c r="H9" s="106" t="n">
        <v>0</v>
      </c>
      <c r="I9" s="106">
        <f>SUM(D9:H9)</f>
        <v/>
      </c>
      <c r="J9" s="106" t="n">
        <v>421100</v>
      </c>
      <c r="K9" s="103" t="n">
        <v>1300</v>
      </c>
      <c r="L9" s="103">
        <f>+D9-J9-K9</f>
        <v/>
      </c>
      <c r="M9" s="30" t="inlineStr">
        <is>
          <t>Yes</t>
        </is>
      </c>
      <c r="N9" s="82" t="n">
        <v>46049</v>
      </c>
      <c r="O9" s="37" t="n">
        <v>422400</v>
      </c>
      <c r="P9" s="37">
        <f>+I9-O9</f>
        <v/>
      </c>
      <c r="Q9" s="37" t="inlineStr">
        <is>
          <t>Jazila</t>
        </is>
      </c>
      <c r="R9" s="33" t="n"/>
    </row>
    <row r="10">
      <c r="A10" s="32">
        <f>+A9+1</f>
        <v/>
      </c>
      <c r="B10" s="29" t="n"/>
      <c r="C10" s="107">
        <f>TEXT(B10,"ddd")</f>
        <v/>
      </c>
      <c r="D10" s="108" t="n"/>
      <c r="E10" s="109" t="n"/>
      <c r="F10" s="107" t="n"/>
      <c r="G10" s="107" t="n"/>
      <c r="H10" s="108" t="n"/>
      <c r="I10" s="108">
        <f>SUM(D10:H10)</f>
        <v/>
      </c>
      <c r="J10" s="108" t="n"/>
      <c r="K10" s="107" t="n"/>
      <c r="L10" s="107">
        <f>+D10-J10-K10</f>
        <v/>
      </c>
      <c r="M10" s="29" t="n"/>
      <c r="N10" s="29" t="n"/>
      <c r="O10" s="37" t="n"/>
      <c r="P10" s="37">
        <f>+I10-O10</f>
        <v/>
      </c>
      <c r="Q10" s="37" t="n"/>
      <c r="R10" s="33" t="n"/>
    </row>
    <row r="11">
      <c r="A11" s="32">
        <f>+A10+1</f>
        <v/>
      </c>
      <c r="B11" s="29" t="n"/>
      <c r="C11" s="107">
        <f>TEXT(B11,"ddd")</f>
        <v/>
      </c>
      <c r="D11" s="108" t="n"/>
      <c r="E11" s="109" t="n"/>
      <c r="F11" s="107" t="n"/>
      <c r="G11" s="107" t="n"/>
      <c r="H11" s="108" t="n"/>
      <c r="I11" s="108">
        <f>SUM(D11:H11)</f>
        <v/>
      </c>
      <c r="J11" s="108" t="n"/>
      <c r="K11" s="107" t="n"/>
      <c r="L11" s="107">
        <f>+D11-J11-K11</f>
        <v/>
      </c>
      <c r="M11" s="29" t="n"/>
      <c r="N11" s="29" t="n"/>
      <c r="O11" s="37" t="n"/>
      <c r="P11" s="37">
        <f>+I11-O11</f>
        <v/>
      </c>
      <c r="Q11" s="37" t="n"/>
      <c r="R11" s="33" t="n"/>
    </row>
    <row r="12">
      <c r="A12" s="32">
        <f>+A11+1</f>
        <v/>
      </c>
      <c r="B12" s="29" t="n"/>
      <c r="C12" s="107">
        <f>TEXT(B12,"ddd")</f>
        <v/>
      </c>
      <c r="D12" s="108" t="n"/>
      <c r="E12" s="109" t="n"/>
      <c r="F12" s="107" t="n"/>
      <c r="G12" s="107" t="n"/>
      <c r="H12" s="108" t="n"/>
      <c r="I12" s="108">
        <f>SUM(D12:H12)</f>
        <v/>
      </c>
      <c r="J12" s="108" t="n"/>
      <c r="K12" s="107" t="n"/>
      <c r="L12" s="107">
        <f>+D12-J12-K12</f>
        <v/>
      </c>
      <c r="M12" s="29" t="n"/>
      <c r="N12" s="29" t="n"/>
      <c r="O12" s="37" t="n"/>
      <c r="P12" s="37">
        <f>+I12-O12</f>
        <v/>
      </c>
      <c r="Q12" s="37" t="n"/>
      <c r="R12" s="33" t="n"/>
    </row>
    <row r="13">
      <c r="A13" s="32">
        <f>+A12+1</f>
        <v/>
      </c>
      <c r="B13" s="29" t="n"/>
      <c r="C13" s="107">
        <f>TEXT(B13,"ddd")</f>
        <v/>
      </c>
      <c r="D13" s="108" t="n"/>
      <c r="E13" s="109" t="n"/>
      <c r="F13" s="107" t="n"/>
      <c r="G13" s="107" t="n"/>
      <c r="H13" s="108" t="n"/>
      <c r="I13" s="108">
        <f>SUM(D13:H13)</f>
        <v/>
      </c>
      <c r="J13" s="108" t="n"/>
      <c r="K13" s="107" t="n"/>
      <c r="L13" s="107">
        <f>+D13-J13-K13</f>
        <v/>
      </c>
      <c r="M13" s="29" t="n"/>
      <c r="N13" s="29" t="n"/>
      <c r="O13" s="37" t="n"/>
      <c r="P13" s="37">
        <f>+I13-O13</f>
        <v/>
      </c>
      <c r="Q13" s="37" t="n"/>
      <c r="R13" s="33" t="n"/>
    </row>
    <row r="14">
      <c r="A14" s="32">
        <f>+A13+1</f>
        <v/>
      </c>
      <c r="B14" s="29" t="n"/>
      <c r="C14" s="107">
        <f>TEXT(B14,"ddd")</f>
        <v/>
      </c>
      <c r="D14" s="108" t="n"/>
      <c r="E14" s="109" t="n"/>
      <c r="F14" s="107" t="n"/>
      <c r="G14" s="107" t="n"/>
      <c r="H14" s="108" t="n"/>
      <c r="I14" s="108">
        <f>SUM(D14:H14)</f>
        <v/>
      </c>
      <c r="J14" s="108" t="n"/>
      <c r="K14" s="107" t="n"/>
      <c r="L14" s="107">
        <f>+D14-J14-K14</f>
        <v/>
      </c>
      <c r="M14" s="29" t="n"/>
      <c r="N14" s="29" t="n"/>
      <c r="O14" s="37" t="n"/>
      <c r="P14" s="37">
        <f>+I14-O14</f>
        <v/>
      </c>
      <c r="Q14" s="37" t="n"/>
      <c r="R14" s="33" t="n"/>
    </row>
    <row r="15">
      <c r="A15" s="32">
        <f>+A14+1</f>
        <v/>
      </c>
      <c r="B15" s="29" t="n"/>
      <c r="C15" s="107">
        <f>TEXT(B15,"ddd")</f>
        <v/>
      </c>
      <c r="D15" s="108" t="n"/>
      <c r="E15" s="109" t="n"/>
      <c r="F15" s="107" t="n"/>
      <c r="G15" s="107" t="n"/>
      <c r="H15" s="108" t="n"/>
      <c r="I15" s="108">
        <f>SUM(D15:H15)</f>
        <v/>
      </c>
      <c r="J15" s="108" t="n"/>
      <c r="K15" s="107" t="n"/>
      <c r="L15" s="107">
        <f>+D15-J15-K15</f>
        <v/>
      </c>
      <c r="M15" s="29" t="n"/>
      <c r="N15" s="29" t="n"/>
      <c r="O15" s="37" t="n"/>
      <c r="P15" s="37">
        <f>+I15-O15</f>
        <v/>
      </c>
      <c r="Q15" s="37" t="n"/>
      <c r="R15" s="33" t="n"/>
    </row>
    <row r="16">
      <c r="A16" s="32">
        <f>+A15+1</f>
        <v/>
      </c>
      <c r="B16" s="29" t="n"/>
      <c r="C16" s="107">
        <f>TEXT(B16,"ddd")</f>
        <v/>
      </c>
      <c r="D16" s="108" t="n"/>
      <c r="E16" s="109" t="n"/>
      <c r="F16" s="107" t="n"/>
      <c r="G16" s="107" t="n"/>
      <c r="H16" s="108" t="n"/>
      <c r="I16" s="108">
        <f>SUM(D16:H16)</f>
        <v/>
      </c>
      <c r="J16" s="108" t="n"/>
      <c r="K16" s="107" t="n"/>
      <c r="L16" s="107">
        <f>+D16-J16-K16</f>
        <v/>
      </c>
      <c r="M16" s="29" t="n"/>
      <c r="N16" s="29" t="n"/>
      <c r="O16" s="37" t="n"/>
      <c r="P16" s="37">
        <f>+I16-O16</f>
        <v/>
      </c>
      <c r="Q16" s="37" t="n"/>
      <c r="R16" s="33" t="n"/>
    </row>
    <row r="17">
      <c r="A17" s="32">
        <f>+A16+1</f>
        <v/>
      </c>
      <c r="B17" s="29" t="n"/>
      <c r="C17" s="107">
        <f>TEXT(B17,"ddd")</f>
        <v/>
      </c>
      <c r="D17" s="108" t="n"/>
      <c r="E17" s="109" t="n"/>
      <c r="F17" s="107" t="n"/>
      <c r="G17" s="107" t="n"/>
      <c r="H17" s="108" t="n"/>
      <c r="I17" s="108">
        <f>SUM(D17:H17)</f>
        <v/>
      </c>
      <c r="J17" s="108" t="n"/>
      <c r="K17" s="107" t="n"/>
      <c r="L17" s="107">
        <f>+D17-J17-K17</f>
        <v/>
      </c>
      <c r="M17" s="29" t="n"/>
      <c r="N17" s="29" t="n"/>
      <c r="O17" s="37" t="n"/>
      <c r="P17" s="37">
        <f>+I17-O17</f>
        <v/>
      </c>
      <c r="Q17" s="37" t="n"/>
      <c r="R17" s="33" t="n"/>
    </row>
    <row r="18">
      <c r="A18" s="32">
        <f>+A17+1</f>
        <v/>
      </c>
      <c r="B18" s="29" t="n"/>
      <c r="C18" s="107">
        <f>TEXT(B18,"ddd")</f>
        <v/>
      </c>
      <c r="D18" s="108" t="n"/>
      <c r="E18" s="109" t="n"/>
      <c r="F18" s="107" t="n"/>
      <c r="G18" s="107" t="n"/>
      <c r="H18" s="108" t="n"/>
      <c r="I18" s="108">
        <f>SUM(D18:H18)</f>
        <v/>
      </c>
      <c r="J18" s="108" t="n"/>
      <c r="K18" s="107" t="n"/>
      <c r="L18" s="107">
        <f>+D18-J18-K18</f>
        <v/>
      </c>
      <c r="M18" s="29" t="n"/>
      <c r="N18" s="29" t="n"/>
      <c r="O18" s="37" t="n"/>
      <c r="P18" s="37">
        <f>+I18-O18</f>
        <v/>
      </c>
      <c r="Q18" s="37" t="n"/>
      <c r="R18" s="33" t="n"/>
    </row>
    <row r="19">
      <c r="A19" s="32">
        <f>+A18+1</f>
        <v/>
      </c>
      <c r="B19" s="29" t="n"/>
      <c r="C19" s="107">
        <f>TEXT(B19,"ddd")</f>
        <v/>
      </c>
      <c r="D19" s="108" t="n"/>
      <c r="E19" s="109" t="n"/>
      <c r="F19" s="107" t="n"/>
      <c r="G19" s="107" t="n"/>
      <c r="H19" s="108" t="n"/>
      <c r="I19" s="108">
        <f>SUM(D19:H19)</f>
        <v/>
      </c>
      <c r="J19" s="108" t="n"/>
      <c r="K19" s="107" t="n"/>
      <c r="L19" s="107">
        <f>+D19-J19-K19</f>
        <v/>
      </c>
      <c r="M19" s="29" t="n"/>
      <c r="N19" s="29" t="n"/>
      <c r="O19" s="37" t="n"/>
      <c r="P19" s="37">
        <f>+I19-O19</f>
        <v/>
      </c>
      <c r="Q19" s="37" t="n"/>
      <c r="R19" s="33" t="n"/>
    </row>
    <row r="20">
      <c r="A20" s="32">
        <f>+A19+1</f>
        <v/>
      </c>
      <c r="B20" s="29" t="n"/>
      <c r="C20" s="107">
        <f>TEXT(B20,"ddd")</f>
        <v/>
      </c>
      <c r="D20" s="108" t="n"/>
      <c r="E20" s="109" t="n"/>
      <c r="F20" s="107" t="n"/>
      <c r="G20" s="107" t="n"/>
      <c r="H20" s="108" t="n"/>
      <c r="I20" s="108">
        <f>SUM(D20:H20)</f>
        <v/>
      </c>
      <c r="J20" s="108" t="n"/>
      <c r="K20" s="107" t="n"/>
      <c r="L20" s="107">
        <f>+D20-J20-K20</f>
        <v/>
      </c>
      <c r="M20" s="29" t="n"/>
      <c r="N20" s="29" t="n"/>
      <c r="O20" s="37" t="n"/>
      <c r="P20" s="37">
        <f>+I20-O20</f>
        <v/>
      </c>
      <c r="Q20" s="37" t="n"/>
      <c r="R20" s="33" t="n"/>
    </row>
    <row r="21">
      <c r="A21" s="32">
        <f>+A20+1</f>
        <v/>
      </c>
      <c r="B21" s="29" t="n"/>
      <c r="C21" s="107">
        <f>TEXT(B21,"ddd")</f>
        <v/>
      </c>
      <c r="D21" s="108" t="n"/>
      <c r="E21" s="109" t="n"/>
      <c r="F21" s="107" t="n"/>
      <c r="G21" s="107" t="n"/>
      <c r="H21" s="108" t="n"/>
      <c r="I21" s="108">
        <f>SUM(D21:H21)</f>
        <v/>
      </c>
      <c r="J21" s="108" t="n"/>
      <c r="K21" s="107" t="n"/>
      <c r="L21" s="107">
        <f>+D21-J21-K21</f>
        <v/>
      </c>
      <c r="M21" s="29" t="n"/>
      <c r="N21" s="29" t="n"/>
      <c r="O21" s="37" t="n"/>
      <c r="P21" s="37">
        <f>+I21-O21</f>
        <v/>
      </c>
      <c r="Q21" s="37" t="n"/>
      <c r="R21" s="33" t="n"/>
    </row>
    <row r="22">
      <c r="A22" s="32">
        <f>+A21+1</f>
        <v/>
      </c>
      <c r="B22" s="29" t="n"/>
      <c r="C22" s="107">
        <f>TEXT(B22,"ddd")</f>
        <v/>
      </c>
      <c r="D22" s="108" t="n"/>
      <c r="E22" s="109" t="n"/>
      <c r="F22" s="107" t="n"/>
      <c r="G22" s="107" t="n"/>
      <c r="H22" s="108" t="n"/>
      <c r="I22" s="108">
        <f>SUM(D22:H22)</f>
        <v/>
      </c>
      <c r="J22" s="108" t="n"/>
      <c r="K22" s="107" t="n"/>
      <c r="L22" s="107">
        <f>+D22-J22-K22</f>
        <v/>
      </c>
      <c r="M22" s="29" t="n"/>
      <c r="N22" s="29" t="n"/>
      <c r="O22" s="37" t="n"/>
      <c r="P22" s="37">
        <f>+I22-O22</f>
        <v/>
      </c>
      <c r="Q22" s="37" t="n"/>
      <c r="R22" s="33" t="n"/>
    </row>
    <row r="23">
      <c r="A23" s="32">
        <f>+A22+1</f>
        <v/>
      </c>
      <c r="B23" s="29" t="n"/>
      <c r="C23" s="107">
        <f>TEXT(B23,"ddd")</f>
        <v/>
      </c>
      <c r="D23" s="108" t="n"/>
      <c r="E23" s="109" t="n"/>
      <c r="F23" s="107" t="n"/>
      <c r="G23" s="107" t="n"/>
      <c r="H23" s="108" t="n"/>
      <c r="I23" s="108">
        <f>SUM(D23:H23)</f>
        <v/>
      </c>
      <c r="J23" s="108" t="n"/>
      <c r="K23" s="107" t="n"/>
      <c r="L23" s="107">
        <f>+D23-J23-K23</f>
        <v/>
      </c>
      <c r="M23" s="29" t="n"/>
      <c r="N23" s="29" t="n"/>
      <c r="O23" s="37" t="n"/>
      <c r="P23" s="37">
        <f>+I23-O23</f>
        <v/>
      </c>
      <c r="Q23" s="37" t="n"/>
      <c r="R23" s="33" t="n"/>
    </row>
    <row r="24">
      <c r="A24" s="32">
        <f>+A23+1</f>
        <v/>
      </c>
      <c r="B24" s="29" t="n"/>
      <c r="C24" s="107">
        <f>TEXT(B24,"ddd")</f>
        <v/>
      </c>
      <c r="D24" s="108" t="n"/>
      <c r="E24" s="109" t="n"/>
      <c r="F24" s="107" t="n"/>
      <c r="G24" s="107" t="n"/>
      <c r="H24" s="108" t="n"/>
      <c r="I24" s="108">
        <f>SUM(D24:H24)</f>
        <v/>
      </c>
      <c r="J24" s="108" t="n"/>
      <c r="K24" s="107" t="n"/>
      <c r="L24" s="107">
        <f>+D24-J24-K24</f>
        <v/>
      </c>
      <c r="M24" s="29" t="n"/>
      <c r="N24" s="29" t="n"/>
      <c r="O24" s="37" t="n"/>
      <c r="P24" s="37">
        <f>+I24-O24</f>
        <v/>
      </c>
      <c r="Q24" s="37" t="n"/>
      <c r="R24" s="33" t="n"/>
    </row>
    <row r="25">
      <c r="A25" s="32">
        <f>+A24+1</f>
        <v/>
      </c>
      <c r="B25" s="29" t="n"/>
      <c r="C25" s="107">
        <f>TEXT(B25,"ddd")</f>
        <v/>
      </c>
      <c r="D25" s="108" t="n"/>
      <c r="E25" s="109" t="n"/>
      <c r="F25" s="107" t="n"/>
      <c r="G25" s="107" t="n"/>
      <c r="H25" s="108" t="n"/>
      <c r="I25" s="108">
        <f>SUM(D25:H25)</f>
        <v/>
      </c>
      <c r="J25" s="107" t="n"/>
      <c r="K25" s="107" t="n"/>
      <c r="L25" s="107">
        <f>+D25-J25-K25</f>
        <v/>
      </c>
      <c r="M25" s="29" t="n"/>
      <c r="N25" s="29" t="n"/>
      <c r="O25" s="37" t="n"/>
      <c r="P25" s="37">
        <f>+I25-O25</f>
        <v/>
      </c>
      <c r="Q25" s="37" t="n"/>
      <c r="R25" s="33" t="n"/>
    </row>
    <row r="26">
      <c r="A26" s="32">
        <f>+A25+1</f>
        <v/>
      </c>
      <c r="B26" s="29" t="n"/>
      <c r="C26" s="107">
        <f>TEXT(B26,"ddd")</f>
        <v/>
      </c>
      <c r="D26" s="108" t="n"/>
      <c r="E26" s="109" t="n"/>
      <c r="F26" s="107" t="n"/>
      <c r="G26" s="107" t="n"/>
      <c r="H26" s="108" t="n"/>
      <c r="I26" s="108">
        <f>SUM(D26:H26)</f>
        <v/>
      </c>
      <c r="J26" s="107" t="n"/>
      <c r="K26" s="107" t="n"/>
      <c r="L26" s="107">
        <f>+D26-J26-K26</f>
        <v/>
      </c>
      <c r="M26" s="29" t="n"/>
      <c r="N26" s="29" t="n"/>
      <c r="O26" s="37" t="n"/>
      <c r="P26" s="37">
        <f>+I26-O26</f>
        <v/>
      </c>
      <c r="Q26" s="37" t="n"/>
      <c r="R26" s="33" t="n"/>
    </row>
    <row r="27">
      <c r="A27" s="32">
        <f>+A26+1</f>
        <v/>
      </c>
      <c r="B27" s="29" t="n"/>
      <c r="C27" s="107">
        <f>TEXT(B27,"ddd")</f>
        <v/>
      </c>
      <c r="D27" s="108" t="n"/>
      <c r="E27" s="109" t="n"/>
      <c r="F27" s="107" t="n"/>
      <c r="G27" s="107" t="n"/>
      <c r="H27" s="108" t="n"/>
      <c r="I27" s="108">
        <f>SUM(D27:H27)</f>
        <v/>
      </c>
      <c r="J27" s="107" t="n"/>
      <c r="K27" s="107" t="n"/>
      <c r="L27" s="107">
        <f>+D27-J27-K27</f>
        <v/>
      </c>
      <c r="M27" s="29" t="n"/>
      <c r="N27" s="29" t="n"/>
      <c r="O27" s="37" t="n"/>
      <c r="P27" s="37">
        <f>+I27-O27</f>
        <v/>
      </c>
      <c r="Q27" s="37" t="n"/>
      <c r="R27" s="33" t="n"/>
    </row>
    <row r="28">
      <c r="A28" s="32">
        <f>+A27+1</f>
        <v/>
      </c>
      <c r="B28" s="29" t="n"/>
      <c r="C28" s="107">
        <f>TEXT(B28,"ddd")</f>
        <v/>
      </c>
      <c r="D28" s="108" t="n"/>
      <c r="E28" s="109" t="n"/>
      <c r="F28" s="107" t="n"/>
      <c r="G28" s="107" t="n"/>
      <c r="H28" s="108" t="n"/>
      <c r="I28" s="108">
        <f>SUM(D28:H28)</f>
        <v/>
      </c>
      <c r="J28" s="107" t="n"/>
      <c r="K28" s="107" t="n"/>
      <c r="L28" s="107">
        <f>+D28-J28-K28</f>
        <v/>
      </c>
      <c r="M28" s="29" t="n"/>
      <c r="N28" s="29" t="n"/>
      <c r="O28" s="37" t="n"/>
      <c r="P28" s="37">
        <f>+I28-O28</f>
        <v/>
      </c>
      <c r="Q28" s="37" t="n"/>
      <c r="R28" s="33" t="n"/>
    </row>
    <row r="29">
      <c r="A29" s="32">
        <f>+A28+1</f>
        <v/>
      </c>
      <c r="B29" s="29" t="n"/>
      <c r="C29" s="107">
        <f>TEXT(B29,"ddd")</f>
        <v/>
      </c>
      <c r="D29" s="108" t="n"/>
      <c r="E29" s="109" t="n"/>
      <c r="F29" s="107" t="n"/>
      <c r="G29" s="107" t="n"/>
      <c r="H29" s="108" t="n"/>
      <c r="I29" s="108">
        <f>SUM(D29:H29)</f>
        <v/>
      </c>
      <c r="J29" s="107" t="n"/>
      <c r="K29" s="107" t="n"/>
      <c r="L29" s="107">
        <f>+D29-J29-K29</f>
        <v/>
      </c>
      <c r="M29" s="29" t="n"/>
      <c r="N29" s="29" t="n"/>
      <c r="O29" s="37" t="n"/>
      <c r="P29" s="37">
        <f>+I29-O29</f>
        <v/>
      </c>
      <c r="Q29" s="37" t="n"/>
      <c r="R29" s="33" t="n"/>
    </row>
    <row r="30">
      <c r="A30" s="32">
        <f>+A29+1</f>
        <v/>
      </c>
      <c r="B30" s="29" t="n"/>
      <c r="C30" s="107">
        <f>TEXT(B30,"ddd")</f>
        <v/>
      </c>
      <c r="D30" s="108" t="n"/>
      <c r="E30" s="109" t="n"/>
      <c r="F30" s="107" t="n"/>
      <c r="G30" s="107" t="n"/>
      <c r="H30" s="108" t="n"/>
      <c r="I30" s="108">
        <f>SUM(D30:H30)</f>
        <v/>
      </c>
      <c r="J30" s="107" t="n"/>
      <c r="K30" s="107" t="n"/>
      <c r="L30" s="107">
        <f>+D30-J30-K30</f>
        <v/>
      </c>
      <c r="M30" s="29" t="n"/>
      <c r="N30" s="29" t="n"/>
      <c r="O30" s="37" t="n"/>
      <c r="P30" s="37">
        <f>+I30-O30</f>
        <v/>
      </c>
      <c r="Q30" s="37" t="n"/>
      <c r="R30" s="33" t="n"/>
    </row>
    <row r="31">
      <c r="A31" s="32">
        <f>+A30+1</f>
        <v/>
      </c>
      <c r="B31" s="29" t="n"/>
      <c r="C31" s="107">
        <f>TEXT(B31,"ddd")</f>
        <v/>
      </c>
      <c r="D31" s="108" t="n"/>
      <c r="E31" s="109" t="n"/>
      <c r="F31" s="107" t="n"/>
      <c r="G31" s="107" t="n"/>
      <c r="H31" s="108" t="n"/>
      <c r="I31" s="108">
        <f>SUM(D31:H31)</f>
        <v/>
      </c>
      <c r="J31" s="107" t="n"/>
      <c r="K31" s="107" t="n"/>
      <c r="L31" s="107">
        <f>+D31-J31-K31</f>
        <v/>
      </c>
      <c r="M31" s="29" t="n"/>
      <c r="N31" s="29" t="n"/>
      <c r="O31" s="37" t="n"/>
      <c r="P31" s="37">
        <f>+I31-O31</f>
        <v/>
      </c>
      <c r="Q31" s="37" t="n"/>
      <c r="R31" s="33" t="n"/>
    </row>
    <row r="32">
      <c r="A32" s="32">
        <f>+A31+1</f>
        <v/>
      </c>
      <c r="B32" s="29" t="n"/>
      <c r="C32" s="107">
        <f>TEXT(B32,"ddd")</f>
        <v/>
      </c>
      <c r="D32" s="108" t="n"/>
      <c r="E32" s="109" t="n"/>
      <c r="F32" s="107" t="n"/>
      <c r="G32" s="107" t="n"/>
      <c r="H32" s="108" t="n"/>
      <c r="I32" s="108">
        <f>SUM(D32:H32)</f>
        <v/>
      </c>
      <c r="J32" s="107" t="n"/>
      <c r="K32" s="107" t="n"/>
      <c r="L32" s="107">
        <f>+D32-J32-K32</f>
        <v/>
      </c>
      <c r="M32" s="29" t="n"/>
      <c r="N32" s="29" t="n"/>
      <c r="O32" s="37" t="n"/>
      <c r="P32" s="37">
        <f>+I32-O32</f>
        <v/>
      </c>
      <c r="Q32" s="37" t="n"/>
      <c r="R32" s="33" t="n"/>
    </row>
    <row r="33">
      <c r="A33" s="32">
        <f>+A32+1</f>
        <v/>
      </c>
      <c r="B33" s="29" t="n"/>
      <c r="C33" s="107">
        <f>TEXT(B33,"ddd")</f>
        <v/>
      </c>
      <c r="D33" s="108" t="n"/>
      <c r="E33" s="109" t="n"/>
      <c r="F33" s="107" t="n"/>
      <c r="G33" s="107" t="n"/>
      <c r="H33" s="108" t="n"/>
      <c r="I33" s="108">
        <f>SUM(D33:H33)</f>
        <v/>
      </c>
      <c r="J33" s="107" t="n"/>
      <c r="K33" s="107" t="n"/>
      <c r="L33" s="107">
        <f>+D33-J33-K33</f>
        <v/>
      </c>
      <c r="M33" s="29" t="n"/>
      <c r="N33" s="29" t="n"/>
      <c r="O33" s="37" t="n"/>
      <c r="P33" s="37">
        <f>+I33-O33</f>
        <v/>
      </c>
      <c r="Q33" s="37" t="n"/>
      <c r="R33" s="33" t="n"/>
    </row>
    <row r="34">
      <c r="A34" s="32">
        <f>+A33+1</f>
        <v/>
      </c>
      <c r="B34" s="29" t="n"/>
      <c r="C34" s="107">
        <f>TEXT(B34,"ddd")</f>
        <v/>
      </c>
      <c r="D34" s="108" t="n"/>
      <c r="E34" s="109" t="n"/>
      <c r="F34" s="107" t="n"/>
      <c r="G34" s="107" t="n"/>
      <c r="H34" s="108" t="n"/>
      <c r="I34" s="108">
        <f>SUM(D34:H34)</f>
        <v/>
      </c>
      <c r="J34" s="107" t="n"/>
      <c r="K34" s="107" t="n"/>
      <c r="L34" s="107">
        <f>+D34-J34-K34</f>
        <v/>
      </c>
      <c r="M34" s="29" t="n"/>
      <c r="N34" s="29" t="n"/>
      <c r="O34" s="37" t="n"/>
      <c r="P34" s="37">
        <f>+I34-O34</f>
        <v/>
      </c>
      <c r="Q34" s="37" t="n"/>
      <c r="R34" s="33" t="n"/>
    </row>
    <row r="35">
      <c r="A35" s="32">
        <f>+A34+1</f>
        <v/>
      </c>
      <c r="B35" s="29" t="n"/>
      <c r="C35" s="107">
        <f>TEXT(B35,"ddd")</f>
        <v/>
      </c>
      <c r="D35" s="108" t="n"/>
      <c r="E35" s="109" t="n"/>
      <c r="F35" s="107" t="n"/>
      <c r="G35" s="107" t="n"/>
      <c r="H35" s="108" t="n"/>
      <c r="I35" s="108">
        <f>SUM(D35:H35)</f>
        <v/>
      </c>
      <c r="J35" s="107" t="n"/>
      <c r="K35" s="107" t="n"/>
      <c r="L35" s="107">
        <f>+D35-J35-K35</f>
        <v/>
      </c>
      <c r="M35" s="29" t="n"/>
      <c r="N35" s="29" t="n"/>
      <c r="O35" s="37" t="n"/>
      <c r="P35" s="37">
        <f>+I35-O35</f>
        <v/>
      </c>
      <c r="Q35" s="37" t="n"/>
      <c r="R35" s="33" t="n"/>
    </row>
    <row r="36">
      <c r="A36" s="32">
        <f>+A35+1</f>
        <v/>
      </c>
      <c r="B36" s="29" t="n"/>
      <c r="C36" s="107">
        <f>TEXT(B36,"ddd")</f>
        <v/>
      </c>
      <c r="D36" s="108" t="n"/>
      <c r="E36" s="109" t="n"/>
      <c r="F36" s="107" t="n"/>
      <c r="G36" s="107" t="n"/>
      <c r="H36" s="108" t="n"/>
      <c r="I36" s="108">
        <f>SUM(D36:H36)</f>
        <v/>
      </c>
      <c r="J36" s="107" t="n"/>
      <c r="K36" s="107" t="n"/>
      <c r="L36" s="107">
        <f>+D36-J36-K36</f>
        <v/>
      </c>
      <c r="M36" s="29" t="n"/>
      <c r="N36" s="29" t="n"/>
      <c r="O36" s="37" t="n"/>
      <c r="P36" s="37">
        <f>+I36-O36</f>
        <v/>
      </c>
      <c r="Q36" s="37" t="n"/>
      <c r="R36" s="33" t="n"/>
    </row>
    <row r="37">
      <c r="A37" s="32">
        <f>+A36+1</f>
        <v/>
      </c>
      <c r="B37" s="29" t="n"/>
      <c r="C37" s="107">
        <f>TEXT(B37,"ddd")</f>
        <v/>
      </c>
      <c r="D37" s="108" t="n"/>
      <c r="E37" s="109" t="n"/>
      <c r="F37" s="107" t="n"/>
      <c r="G37" s="107" t="n"/>
      <c r="H37" s="108" t="n"/>
      <c r="I37" s="108">
        <f>SUM(D37:H37)</f>
        <v/>
      </c>
      <c r="J37" s="107" t="n"/>
      <c r="K37" s="107" t="n"/>
      <c r="L37" s="107">
        <f>+D37-J37-K37</f>
        <v/>
      </c>
      <c r="M37" s="29" t="n"/>
      <c r="N37" s="29" t="n"/>
      <c r="O37" s="37" t="n"/>
      <c r="P37" s="37">
        <f>+I37-O37</f>
        <v/>
      </c>
      <c r="Q37" s="37" t="n"/>
      <c r="R37" s="33" t="n"/>
    </row>
    <row r="38">
      <c r="A38" s="32">
        <f>+A37+1</f>
        <v/>
      </c>
      <c r="B38" s="29" t="n"/>
      <c r="C38" s="107">
        <f>TEXT(B38,"ddd")</f>
        <v/>
      </c>
      <c r="D38" s="108" t="n"/>
      <c r="E38" s="109" t="n"/>
      <c r="F38" s="107" t="n"/>
      <c r="G38" s="107" t="n"/>
      <c r="H38" s="108" t="n"/>
      <c r="I38" s="108">
        <f>SUM(D38:H38)</f>
        <v/>
      </c>
      <c r="J38" s="107" t="n"/>
      <c r="K38" s="107" t="n"/>
      <c r="L38" s="107">
        <f>+D38-J38-K38</f>
        <v/>
      </c>
      <c r="M38" s="29" t="n"/>
      <c r="N38" s="29" t="n"/>
      <c r="O38" s="37" t="n"/>
      <c r="P38" s="37">
        <f>+I38-O38</f>
        <v/>
      </c>
      <c r="Q38" s="37" t="n"/>
      <c r="R38" s="33" t="n"/>
    </row>
    <row r="39">
      <c r="A39" s="32">
        <f>+A38+1</f>
        <v/>
      </c>
      <c r="B39" s="29" t="n"/>
      <c r="C39" s="107">
        <f>TEXT(B39,"ddd")</f>
        <v/>
      </c>
      <c r="D39" s="108" t="n"/>
      <c r="E39" s="109" t="n"/>
      <c r="F39" s="107" t="n"/>
      <c r="G39" s="107" t="n"/>
      <c r="H39" s="108" t="n"/>
      <c r="I39" s="108">
        <f>SUM(D39:H39)</f>
        <v/>
      </c>
      <c r="J39" s="107" t="n"/>
      <c r="K39" s="107" t="n"/>
      <c r="L39" s="107">
        <f>+D39-J39-K39</f>
        <v/>
      </c>
      <c r="M39" s="29" t="n"/>
      <c r="N39" s="29" t="n"/>
      <c r="O39" s="37" t="n"/>
      <c r="P39" s="37">
        <f>+I39-O39</f>
        <v/>
      </c>
      <c r="Q39" s="37" t="n"/>
      <c r="R39" s="33" t="n"/>
    </row>
    <row r="40" ht="15.75" customFormat="1" customHeight="1" s="3" thickBot="1">
      <c r="A40" s="34" t="n"/>
      <c r="B40" s="27" t="n"/>
      <c r="C40" s="110" t="n"/>
      <c r="D40" s="71" t="n"/>
      <c r="E40" s="111" t="n"/>
      <c r="F40" s="111" t="n"/>
      <c r="G40" s="111" t="n"/>
      <c r="H40" s="111" t="n"/>
      <c r="I40" s="111" t="n"/>
      <c r="J40" s="110" t="n"/>
      <c r="K40" s="111" t="n"/>
      <c r="L40" s="111" t="n"/>
      <c r="M40" s="27" t="n"/>
      <c r="N40" s="27" t="n"/>
      <c r="O40" s="27" t="n"/>
      <c r="P40" s="27" t="n"/>
      <c r="Q40" s="27" t="n"/>
      <c r="R40" s="28" t="n"/>
    </row>
  </sheetData>
  <mergeCells count="53">
    <mergeCell ref="D20:E20"/>
    <mergeCell ref="D10:E10"/>
    <mergeCell ref="D7:E8"/>
    <mergeCell ref="D19:E19"/>
    <mergeCell ref="D34:E34"/>
    <mergeCell ref="R7:R8"/>
    <mergeCell ref="A7:A8"/>
    <mergeCell ref="A3:C3"/>
    <mergeCell ref="D22:E22"/>
    <mergeCell ref="I7:I8"/>
    <mergeCell ref="D36:E36"/>
    <mergeCell ref="D31:E31"/>
    <mergeCell ref="M7:M8"/>
    <mergeCell ref="D21:E21"/>
    <mergeCell ref="J7:L7"/>
    <mergeCell ref="A5:C5"/>
    <mergeCell ref="A2:R2"/>
    <mergeCell ref="D11:E11"/>
    <mergeCell ref="D13:E13"/>
    <mergeCell ref="D27:E27"/>
    <mergeCell ref="D32:E32"/>
    <mergeCell ref="C40:D40"/>
    <mergeCell ref="D26:E26"/>
    <mergeCell ref="P7:P8"/>
    <mergeCell ref="A4:C4"/>
    <mergeCell ref="D17:E17"/>
    <mergeCell ref="G3:H3"/>
    <mergeCell ref="D16:E16"/>
    <mergeCell ref="D37:E37"/>
    <mergeCell ref="C7:C8"/>
    <mergeCell ref="D28:E28"/>
    <mergeCell ref="D18:E18"/>
    <mergeCell ref="O7:O8"/>
    <mergeCell ref="D9:E9"/>
    <mergeCell ref="Q7:Q8"/>
    <mergeCell ref="D12:E12"/>
    <mergeCell ref="D39:E39"/>
    <mergeCell ref="D25:E25"/>
    <mergeCell ref="G4:H4"/>
    <mergeCell ref="D24:E24"/>
    <mergeCell ref="D30:E30"/>
    <mergeCell ref="D15:E15"/>
    <mergeCell ref="D33:E33"/>
    <mergeCell ref="D29:E29"/>
    <mergeCell ref="A6:C6"/>
    <mergeCell ref="D23:E23"/>
    <mergeCell ref="D38:E38"/>
    <mergeCell ref="B7:B8"/>
    <mergeCell ref="D14:E14"/>
    <mergeCell ref="A1:R1"/>
    <mergeCell ref="F7:H7"/>
    <mergeCell ref="N7:N8"/>
    <mergeCell ref="D35:E35"/>
  </mergeCells>
  <conditionalFormatting sqref="L9:L26">
    <cfRule type="cellIs" priority="2" operator="equal" dxfId="1">
      <formula>0</formula>
    </cfRule>
    <cfRule type="cellIs" priority="1" operator="greaterThan" dxfId="0">
      <formula>0</formula>
    </cfRule>
  </conditionalFormatting>
  <pageMargins left="0.12" right="0.28" top="0.31" bottom="0.12" header="0.3" footer="0.12"/>
  <pageSetup orientation="landscape" scale="78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view="pageBreakPreview" zoomScale="136" zoomScaleNormal="97" workbookViewId="0">
      <selection activeCell="J3" sqref="J1:J1048576"/>
    </sheetView>
  </sheetViews>
  <sheetFormatPr baseColWidth="8" defaultRowHeight="15"/>
  <cols>
    <col width="5.7109375" bestFit="1" customWidth="1" style="72" min="1" max="1"/>
    <col width="10.7109375" customWidth="1" style="72" min="2" max="2"/>
    <col width="7.42578125" customWidth="1" style="72" min="3" max="3"/>
    <col width="11.85546875" customWidth="1" style="72" min="4" max="4"/>
    <col width="4.5703125" customWidth="1" style="72" min="5" max="5"/>
    <col width="9.42578125" bestFit="1" customWidth="1" style="72" min="6" max="6"/>
    <col width="18.7109375" bestFit="1" customWidth="1" style="72" min="7" max="7"/>
  </cols>
  <sheetData>
    <row r="1" ht="15.75" customHeight="1" s="72" thickBot="1">
      <c r="A1" s="96" t="inlineStr">
        <is>
          <t>OPTIFIRST TZ LIMITED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2" t="n"/>
    </row>
    <row r="2">
      <c r="A2" s="97" t="inlineStr">
        <is>
          <t>Utumbo Sales and collection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9" t="n"/>
    </row>
    <row r="3">
      <c r="A3" s="58" t="inlineStr">
        <is>
          <t>KUKU Shop :</t>
        </is>
      </c>
      <c r="J3" s="2" t="n"/>
    </row>
    <row r="4">
      <c r="A4" s="58" t="inlineStr">
        <is>
          <t>Month :</t>
        </is>
      </c>
      <c r="J4" s="2" t="n"/>
    </row>
    <row r="5">
      <c r="A5" s="58" t="inlineStr">
        <is>
          <t>Incharge :</t>
        </is>
      </c>
      <c r="J5" s="2" t="n"/>
    </row>
    <row r="6" ht="15.75" customHeight="1" s="72" thickBot="1">
      <c r="A6" s="58" t="n"/>
      <c r="J6" s="2" t="n"/>
    </row>
    <row r="7">
      <c r="A7" s="36" t="inlineStr">
        <is>
          <t>Sl.No</t>
        </is>
      </c>
      <c r="B7" s="36" t="inlineStr">
        <is>
          <t>Date</t>
        </is>
      </c>
      <c r="C7" s="36" t="inlineStr">
        <is>
          <t>Day</t>
        </is>
      </c>
      <c r="D7" s="36" t="inlineStr">
        <is>
          <t>Quantity sold</t>
        </is>
      </c>
      <c r="E7" s="99" t="n"/>
      <c r="F7" s="36" t="inlineStr">
        <is>
          <t>Amount</t>
        </is>
      </c>
      <c r="G7" s="36" t="inlineStr">
        <is>
          <t>Deposit (Bank/Lipa)</t>
        </is>
      </c>
      <c r="H7" s="101" t="inlineStr">
        <is>
          <t>Date of Deposit</t>
        </is>
      </c>
      <c r="I7" s="101" t="inlineStr">
        <is>
          <t>Variance</t>
        </is>
      </c>
      <c r="J7" s="36" t="inlineStr">
        <is>
          <t>Signature</t>
        </is>
      </c>
    </row>
    <row r="8" ht="15.75" customHeight="1" s="72" thickBot="1">
      <c r="A8" s="102" t="n"/>
      <c r="B8" s="102" t="n"/>
      <c r="C8" s="102" t="n"/>
      <c r="D8" s="70" t="n"/>
      <c r="E8" s="5" t="n"/>
      <c r="F8" s="102" t="n"/>
      <c r="G8" s="102" t="n"/>
      <c r="H8" s="102" t="n"/>
      <c r="I8" s="102" t="n"/>
      <c r="J8" s="102" t="n"/>
    </row>
    <row r="9">
      <c r="A9" s="31" t="n">
        <v>1</v>
      </c>
      <c r="B9" s="30" t="n"/>
      <c r="C9" s="30">
        <f>TEXT(B9,"ddd")</f>
        <v/>
      </c>
      <c r="D9" s="112" t="n"/>
      <c r="E9" s="105" t="n"/>
      <c r="F9" s="30" t="n"/>
      <c r="G9" s="30" t="n"/>
      <c r="H9" s="30" t="n"/>
      <c r="I9" s="37">
        <f>+F9-G9</f>
        <v/>
      </c>
      <c r="J9" s="33" t="n"/>
    </row>
    <row r="10">
      <c r="A10" s="32">
        <f>+A9+1</f>
        <v/>
      </c>
      <c r="B10" s="29" t="n"/>
      <c r="C10" s="29">
        <f>TEXT(B10,"ddd")</f>
        <v/>
      </c>
      <c r="D10" s="113" t="n"/>
      <c r="E10" s="109" t="n"/>
      <c r="F10" s="29" t="n"/>
      <c r="G10" s="29" t="n"/>
      <c r="H10" s="29" t="n"/>
      <c r="I10" s="37">
        <f>+F10-G10</f>
        <v/>
      </c>
      <c r="J10" s="33" t="n"/>
    </row>
    <row r="11">
      <c r="A11" s="32">
        <f>+A10+1</f>
        <v/>
      </c>
      <c r="B11" s="29" t="n"/>
      <c r="C11" s="29">
        <f>TEXT(B11,"ddd")</f>
        <v/>
      </c>
      <c r="D11" s="113" t="n"/>
      <c r="E11" s="109" t="n"/>
      <c r="F11" s="29" t="n"/>
      <c r="G11" s="29" t="n"/>
      <c r="H11" s="29" t="n"/>
      <c r="I11" s="37">
        <f>+F11-G11</f>
        <v/>
      </c>
      <c r="J11" s="33" t="n"/>
    </row>
    <row r="12">
      <c r="A12" s="32">
        <f>+A11+1</f>
        <v/>
      </c>
      <c r="B12" s="29" t="n"/>
      <c r="C12" s="29">
        <f>TEXT(B12,"ddd")</f>
        <v/>
      </c>
      <c r="D12" s="113" t="n"/>
      <c r="E12" s="109" t="n"/>
      <c r="F12" s="29" t="n"/>
      <c r="G12" s="29" t="n"/>
      <c r="H12" s="29" t="n"/>
      <c r="I12" s="37">
        <f>+F12-G12</f>
        <v/>
      </c>
      <c r="J12" s="33" t="n"/>
    </row>
    <row r="13">
      <c r="A13" s="32">
        <f>+A12+1</f>
        <v/>
      </c>
      <c r="B13" s="29" t="n"/>
      <c r="C13" s="29">
        <f>TEXT(B13,"ddd")</f>
        <v/>
      </c>
      <c r="D13" s="113" t="n"/>
      <c r="E13" s="109" t="n"/>
      <c r="F13" s="29" t="n"/>
      <c r="G13" s="29" t="n"/>
      <c r="H13" s="29" t="n"/>
      <c r="I13" s="37">
        <f>+F13-G13</f>
        <v/>
      </c>
      <c r="J13" s="33" t="n"/>
    </row>
    <row r="14">
      <c r="A14" s="32">
        <f>+A13+1</f>
        <v/>
      </c>
      <c r="B14" s="29" t="n"/>
      <c r="C14" s="29">
        <f>TEXT(B14,"ddd")</f>
        <v/>
      </c>
      <c r="D14" s="113" t="n"/>
      <c r="E14" s="109" t="n"/>
      <c r="F14" s="29" t="n"/>
      <c r="G14" s="29" t="n"/>
      <c r="H14" s="29" t="n"/>
      <c r="I14" s="37">
        <f>+F14-G14</f>
        <v/>
      </c>
      <c r="J14" s="33" t="n"/>
    </row>
    <row r="15">
      <c r="A15" s="32">
        <f>+A14+1</f>
        <v/>
      </c>
      <c r="B15" s="29" t="n"/>
      <c r="C15" s="29">
        <f>TEXT(B15,"ddd")</f>
        <v/>
      </c>
      <c r="D15" s="113" t="n"/>
      <c r="E15" s="109" t="n"/>
      <c r="F15" s="29" t="n"/>
      <c r="G15" s="29" t="n"/>
      <c r="H15" s="29" t="n"/>
      <c r="I15" s="37">
        <f>+F15-G15</f>
        <v/>
      </c>
      <c r="J15" s="33" t="n"/>
    </row>
    <row r="16">
      <c r="A16" s="32">
        <f>+A15+1</f>
        <v/>
      </c>
      <c r="B16" s="29" t="n"/>
      <c r="C16" s="29">
        <f>TEXT(B16,"ddd")</f>
        <v/>
      </c>
      <c r="D16" s="113" t="n"/>
      <c r="E16" s="109" t="n"/>
      <c r="F16" s="29" t="n"/>
      <c r="G16" s="29" t="n"/>
      <c r="H16" s="29" t="n"/>
      <c r="I16" s="37">
        <f>+F16-G16</f>
        <v/>
      </c>
      <c r="J16" s="33" t="n"/>
    </row>
    <row r="17">
      <c r="A17" s="32">
        <f>+A16+1</f>
        <v/>
      </c>
      <c r="B17" s="29" t="n"/>
      <c r="C17" s="29">
        <f>TEXT(B17,"ddd")</f>
        <v/>
      </c>
      <c r="D17" s="113" t="n"/>
      <c r="E17" s="109" t="n"/>
      <c r="F17" s="29" t="n"/>
      <c r="G17" s="29" t="n"/>
      <c r="H17" s="29" t="n"/>
      <c r="I17" s="37">
        <f>+F17-G17</f>
        <v/>
      </c>
      <c r="J17" s="33" t="n"/>
    </row>
    <row r="18">
      <c r="A18" s="32">
        <f>+A17+1</f>
        <v/>
      </c>
      <c r="B18" s="29" t="n"/>
      <c r="C18" s="29">
        <f>TEXT(B18,"ddd")</f>
        <v/>
      </c>
      <c r="D18" s="113" t="n"/>
      <c r="E18" s="109" t="n"/>
      <c r="F18" s="29" t="n"/>
      <c r="G18" s="29" t="n"/>
      <c r="H18" s="29" t="n"/>
      <c r="I18" s="37">
        <f>+F18-G18</f>
        <v/>
      </c>
      <c r="J18" s="33" t="n"/>
    </row>
    <row r="19">
      <c r="A19" s="32">
        <f>+A18+1</f>
        <v/>
      </c>
      <c r="B19" s="29" t="n"/>
      <c r="C19" s="29">
        <f>TEXT(B19,"ddd")</f>
        <v/>
      </c>
      <c r="D19" s="113" t="n"/>
      <c r="E19" s="109" t="n"/>
      <c r="F19" s="29" t="n"/>
      <c r="G19" s="29" t="n"/>
      <c r="H19" s="29" t="n"/>
      <c r="I19" s="37">
        <f>+F19-G19</f>
        <v/>
      </c>
      <c r="J19" s="33" t="n"/>
    </row>
    <row r="20">
      <c r="A20" s="32">
        <f>+A19+1</f>
        <v/>
      </c>
      <c r="B20" s="29" t="n"/>
      <c r="C20" s="29">
        <f>TEXT(B20,"ddd")</f>
        <v/>
      </c>
      <c r="D20" s="113" t="n"/>
      <c r="E20" s="109" t="n"/>
      <c r="F20" s="29" t="n"/>
      <c r="G20" s="29" t="n"/>
      <c r="H20" s="29" t="n"/>
      <c r="I20" s="37">
        <f>+F20-G20</f>
        <v/>
      </c>
      <c r="J20" s="33" t="n"/>
    </row>
    <row r="21">
      <c r="A21" s="32">
        <f>+A20+1</f>
        <v/>
      </c>
      <c r="B21" s="29" t="n"/>
      <c r="C21" s="29">
        <f>TEXT(B21,"ddd")</f>
        <v/>
      </c>
      <c r="D21" s="113" t="n"/>
      <c r="E21" s="109" t="n"/>
      <c r="F21" s="29" t="n"/>
      <c r="G21" s="29" t="n"/>
      <c r="H21" s="29" t="n"/>
      <c r="I21" s="37">
        <f>+F21-G21</f>
        <v/>
      </c>
      <c r="J21" s="33" t="n"/>
    </row>
    <row r="22">
      <c r="A22" s="32">
        <f>+A21+1</f>
        <v/>
      </c>
      <c r="B22" s="29" t="n"/>
      <c r="C22" s="29">
        <f>TEXT(B22,"ddd")</f>
        <v/>
      </c>
      <c r="D22" s="113" t="n"/>
      <c r="E22" s="109" t="n"/>
      <c r="F22" s="29" t="n"/>
      <c r="G22" s="29" t="n"/>
      <c r="H22" s="29" t="n"/>
      <c r="I22" s="37">
        <f>+F22-G22</f>
        <v/>
      </c>
      <c r="J22" s="33" t="n"/>
    </row>
    <row r="23">
      <c r="A23" s="32">
        <f>+A22+1</f>
        <v/>
      </c>
      <c r="B23" s="29" t="n"/>
      <c r="C23" s="29">
        <f>TEXT(B23,"ddd")</f>
        <v/>
      </c>
      <c r="D23" s="113" t="n"/>
      <c r="E23" s="109" t="n"/>
      <c r="F23" s="29" t="n"/>
      <c r="G23" s="29" t="n"/>
      <c r="H23" s="29" t="n"/>
      <c r="I23" s="37">
        <f>+F23-G23</f>
        <v/>
      </c>
      <c r="J23" s="33" t="n"/>
    </row>
    <row r="24">
      <c r="A24" s="32">
        <f>+A23+1</f>
        <v/>
      </c>
      <c r="B24" s="29" t="n"/>
      <c r="C24" s="29">
        <f>TEXT(B24,"ddd")</f>
        <v/>
      </c>
      <c r="D24" s="113" t="n"/>
      <c r="E24" s="109" t="n"/>
      <c r="F24" s="29" t="n"/>
      <c r="G24" s="29" t="n"/>
      <c r="H24" s="29" t="n"/>
      <c r="I24" s="37">
        <f>+F24-G24</f>
        <v/>
      </c>
      <c r="J24" s="33" t="n"/>
    </row>
    <row r="25">
      <c r="A25" s="32">
        <f>+A24+1</f>
        <v/>
      </c>
      <c r="B25" s="29" t="n"/>
      <c r="C25" s="29">
        <f>TEXT(B25,"ddd")</f>
        <v/>
      </c>
      <c r="D25" s="113" t="n"/>
      <c r="E25" s="109" t="n"/>
      <c r="F25" s="29" t="n"/>
      <c r="G25" s="29" t="n"/>
      <c r="H25" s="29" t="n"/>
      <c r="I25" s="37">
        <f>+F25-G25</f>
        <v/>
      </c>
      <c r="J25" s="33" t="n"/>
    </row>
    <row r="26">
      <c r="A26" s="32">
        <f>+A25+1</f>
        <v/>
      </c>
      <c r="B26" s="29" t="n"/>
      <c r="C26" s="29">
        <f>TEXT(B26,"ddd")</f>
        <v/>
      </c>
      <c r="D26" s="113" t="n"/>
      <c r="E26" s="109" t="n"/>
      <c r="F26" s="29" t="n"/>
      <c r="G26" s="29" t="n"/>
      <c r="H26" s="29" t="n"/>
      <c r="I26" s="37">
        <f>+F26-G26</f>
        <v/>
      </c>
      <c r="J26" s="33" t="n"/>
    </row>
    <row r="27">
      <c r="A27" s="32">
        <f>+A26+1</f>
        <v/>
      </c>
      <c r="B27" s="29" t="n"/>
      <c r="C27" s="29">
        <f>TEXT(B27,"ddd")</f>
        <v/>
      </c>
      <c r="D27" s="113" t="n"/>
      <c r="E27" s="109" t="n"/>
      <c r="F27" s="29" t="n"/>
      <c r="G27" s="29" t="n"/>
      <c r="H27" s="29" t="n"/>
      <c r="I27" s="37">
        <f>+F27-G27</f>
        <v/>
      </c>
      <c r="J27" s="33" t="n"/>
    </row>
    <row r="28">
      <c r="A28" s="32">
        <f>+A27+1</f>
        <v/>
      </c>
      <c r="B28" s="29" t="n"/>
      <c r="C28" s="29">
        <f>TEXT(B28,"ddd")</f>
        <v/>
      </c>
      <c r="D28" s="113" t="n"/>
      <c r="E28" s="109" t="n"/>
      <c r="F28" s="29" t="n"/>
      <c r="G28" s="29" t="n"/>
      <c r="H28" s="29" t="n"/>
      <c r="I28" s="37">
        <f>+F28-G28</f>
        <v/>
      </c>
      <c r="J28" s="33" t="n"/>
    </row>
    <row r="29">
      <c r="A29" s="32">
        <f>+A28+1</f>
        <v/>
      </c>
      <c r="B29" s="29" t="n"/>
      <c r="C29" s="29">
        <f>TEXT(B29,"ddd")</f>
        <v/>
      </c>
      <c r="D29" s="113" t="n"/>
      <c r="E29" s="109" t="n"/>
      <c r="F29" s="29" t="n"/>
      <c r="G29" s="29" t="n"/>
      <c r="H29" s="29" t="n"/>
      <c r="I29" s="37">
        <f>+F29-G29</f>
        <v/>
      </c>
      <c r="J29" s="33" t="n"/>
    </row>
    <row r="30">
      <c r="A30" s="32">
        <f>+A29+1</f>
        <v/>
      </c>
      <c r="B30" s="29" t="n"/>
      <c r="C30" s="29">
        <f>TEXT(B30,"ddd")</f>
        <v/>
      </c>
      <c r="D30" s="113" t="n"/>
      <c r="E30" s="109" t="n"/>
      <c r="F30" s="29" t="n"/>
      <c r="G30" s="29" t="n"/>
      <c r="H30" s="29" t="n"/>
      <c r="I30" s="37">
        <f>+F30-G30</f>
        <v/>
      </c>
      <c r="J30" s="33" t="n"/>
    </row>
    <row r="31">
      <c r="A31" s="32">
        <f>+A30+1</f>
        <v/>
      </c>
      <c r="B31" s="29" t="n"/>
      <c r="C31" s="29">
        <f>TEXT(B31,"ddd")</f>
        <v/>
      </c>
      <c r="D31" s="113" t="n"/>
      <c r="E31" s="109" t="n"/>
      <c r="F31" s="29" t="n"/>
      <c r="G31" s="29" t="n"/>
      <c r="H31" s="29" t="n"/>
      <c r="I31" s="37">
        <f>+F31-G31</f>
        <v/>
      </c>
      <c r="J31" s="33" t="n"/>
    </row>
    <row r="32">
      <c r="A32" s="32">
        <f>+A31+1</f>
        <v/>
      </c>
      <c r="B32" s="29" t="n"/>
      <c r="C32" s="29">
        <f>TEXT(B32,"ddd")</f>
        <v/>
      </c>
      <c r="D32" s="113" t="n"/>
      <c r="E32" s="109" t="n"/>
      <c r="F32" s="29" t="n"/>
      <c r="G32" s="29" t="n"/>
      <c r="H32" s="29" t="n"/>
      <c r="I32" s="37">
        <f>+F32-G32</f>
        <v/>
      </c>
      <c r="J32" s="33" t="n"/>
    </row>
    <row r="33">
      <c r="A33" s="32">
        <f>+A32+1</f>
        <v/>
      </c>
      <c r="B33" s="29" t="n"/>
      <c r="C33" s="29">
        <f>TEXT(B33,"ddd")</f>
        <v/>
      </c>
      <c r="D33" s="113" t="n"/>
      <c r="E33" s="109" t="n"/>
      <c r="F33" s="29" t="n"/>
      <c r="G33" s="29" t="n"/>
      <c r="H33" s="29" t="n"/>
      <c r="I33" s="37">
        <f>+F33-G33</f>
        <v/>
      </c>
      <c r="J33" s="33" t="n"/>
    </row>
    <row r="34">
      <c r="A34" s="32">
        <f>+A33+1</f>
        <v/>
      </c>
      <c r="B34" s="29" t="n"/>
      <c r="C34" s="29">
        <f>TEXT(B34,"ddd")</f>
        <v/>
      </c>
      <c r="D34" s="113" t="n"/>
      <c r="E34" s="109" t="n"/>
      <c r="F34" s="29" t="n"/>
      <c r="G34" s="29" t="n"/>
      <c r="H34" s="29" t="n"/>
      <c r="I34" s="37">
        <f>+F34-G34</f>
        <v/>
      </c>
      <c r="J34" s="33" t="n"/>
    </row>
    <row r="35">
      <c r="A35" s="32">
        <f>+A34+1</f>
        <v/>
      </c>
      <c r="B35" s="29" t="n"/>
      <c r="C35" s="29">
        <f>TEXT(B35,"ddd")</f>
        <v/>
      </c>
      <c r="D35" s="113" t="n"/>
      <c r="E35" s="109" t="n"/>
      <c r="F35" s="29" t="n"/>
      <c r="G35" s="29" t="n"/>
      <c r="H35" s="29" t="n"/>
      <c r="I35" s="37">
        <f>+F35-G35</f>
        <v/>
      </c>
      <c r="J35" s="33" t="n"/>
    </row>
    <row r="36">
      <c r="A36" s="32">
        <f>+A35+1</f>
        <v/>
      </c>
      <c r="B36" s="29" t="n"/>
      <c r="C36" s="29">
        <f>TEXT(B36,"ddd")</f>
        <v/>
      </c>
      <c r="D36" s="113" t="n"/>
      <c r="E36" s="109" t="n"/>
      <c r="F36" s="29" t="n"/>
      <c r="G36" s="29" t="n"/>
      <c r="H36" s="29" t="n"/>
      <c r="I36" s="37">
        <f>+F36-G36</f>
        <v/>
      </c>
      <c r="J36" s="33" t="n"/>
    </row>
    <row r="37">
      <c r="A37" s="32">
        <f>+A36+1</f>
        <v/>
      </c>
      <c r="B37" s="29" t="n"/>
      <c r="C37" s="29">
        <f>TEXT(B37,"ddd")</f>
        <v/>
      </c>
      <c r="D37" s="113" t="n"/>
      <c r="E37" s="109" t="n"/>
      <c r="F37" s="29" t="n"/>
      <c r="G37" s="29" t="n"/>
      <c r="H37" s="29" t="n"/>
      <c r="I37" s="37">
        <f>+F37-G37</f>
        <v/>
      </c>
      <c r="J37" s="33" t="n"/>
    </row>
    <row r="38">
      <c r="A38" s="32">
        <f>+A37+1</f>
        <v/>
      </c>
      <c r="B38" s="29" t="n"/>
      <c r="C38" s="29">
        <f>TEXT(B38,"ddd")</f>
        <v/>
      </c>
      <c r="D38" s="113" t="n"/>
      <c r="E38" s="109" t="n"/>
      <c r="F38" s="29" t="n"/>
      <c r="G38" s="29" t="n"/>
      <c r="H38" s="29" t="n"/>
      <c r="I38" s="37">
        <f>+F38-G38</f>
        <v/>
      </c>
      <c r="J38" s="33" t="n"/>
    </row>
    <row r="39">
      <c r="A39" s="32">
        <f>+A38+1</f>
        <v/>
      </c>
      <c r="B39" s="29" t="n"/>
      <c r="C39" s="29">
        <f>TEXT(B39,"ddd")</f>
        <v/>
      </c>
      <c r="D39" s="113" t="n"/>
      <c r="E39" s="109" t="n"/>
      <c r="F39" s="29" t="n"/>
      <c r="G39" s="29" t="n"/>
      <c r="H39" s="29" t="n"/>
      <c r="I39" s="37">
        <f>+F39-G39</f>
        <v/>
      </c>
      <c r="J39" s="33" t="n"/>
    </row>
    <row r="40" ht="15.75" customFormat="1" customHeight="1" s="3" thickBot="1">
      <c r="A40" s="34" t="n"/>
      <c r="B40" s="27" t="n"/>
      <c r="C40" s="63" t="n"/>
      <c r="D40" s="71" t="n"/>
      <c r="E40" s="27" t="n"/>
      <c r="F40" s="27" t="n"/>
      <c r="G40" s="27" t="n"/>
      <c r="H40" s="27" t="n"/>
      <c r="I40" s="27" t="n"/>
      <c r="J40" s="28" t="n"/>
    </row>
    <row r="42">
      <c r="A42" t="inlineStr">
        <is>
          <t>Remarks:</t>
        </is>
      </c>
    </row>
  </sheetData>
  <mergeCells count="47">
    <mergeCell ref="D20:E20"/>
    <mergeCell ref="D10:E10"/>
    <mergeCell ref="D7:E8"/>
    <mergeCell ref="D19:E19"/>
    <mergeCell ref="D34:E34"/>
    <mergeCell ref="A7:A8"/>
    <mergeCell ref="G7:G8"/>
    <mergeCell ref="A3:C3"/>
    <mergeCell ref="D22:E22"/>
    <mergeCell ref="I7:I8"/>
    <mergeCell ref="D36:E36"/>
    <mergeCell ref="D31:E31"/>
    <mergeCell ref="D21:E21"/>
    <mergeCell ref="A5:C5"/>
    <mergeCell ref="D11:E11"/>
    <mergeCell ref="D13:E13"/>
    <mergeCell ref="D27:E27"/>
    <mergeCell ref="D32:E32"/>
    <mergeCell ref="H7:H8"/>
    <mergeCell ref="C40:D40"/>
    <mergeCell ref="J7:J8"/>
    <mergeCell ref="A4:C4"/>
    <mergeCell ref="D17:E17"/>
    <mergeCell ref="A1:J1"/>
    <mergeCell ref="D16:E16"/>
    <mergeCell ref="D37:E37"/>
    <mergeCell ref="C7:C8"/>
    <mergeCell ref="D28:E28"/>
    <mergeCell ref="D18:E18"/>
    <mergeCell ref="D9:E9"/>
    <mergeCell ref="D12:E12"/>
    <mergeCell ref="D39:E39"/>
    <mergeCell ref="D25:E25"/>
    <mergeCell ref="D30:E30"/>
    <mergeCell ref="D24:E24"/>
    <mergeCell ref="D15:E15"/>
    <mergeCell ref="D33:E33"/>
    <mergeCell ref="D29:E29"/>
    <mergeCell ref="A6:C6"/>
    <mergeCell ref="D23:E23"/>
    <mergeCell ref="D38:E38"/>
    <mergeCell ref="B7:B8"/>
    <mergeCell ref="D14:E14"/>
    <mergeCell ref="F7:F8"/>
    <mergeCell ref="A2:J2"/>
    <mergeCell ref="D26:E26"/>
    <mergeCell ref="D35:E35"/>
  </mergeCells>
  <pageMargins left="0.7086614173228347" right="0.2755905511811024" top="0.3149606299212598" bottom="0.1181102362204725" header="0.3149606299212598" footer="0.1181102362204725"/>
  <pageSetup orientation="landscape" paperSize="9" scale="9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"/>
  <sheetViews>
    <sheetView tabSelected="1" view="pageBreakPreview" zoomScale="136" zoomScaleNormal="97" workbookViewId="0">
      <selection activeCell="G4" sqref="G4:H4"/>
    </sheetView>
  </sheetViews>
  <sheetFormatPr baseColWidth="8" defaultRowHeight="15"/>
  <cols>
    <col width="5.7109375" bestFit="1" customWidth="1" style="72" min="1" max="1"/>
    <col width="11" bestFit="1" customWidth="1" style="72" min="2" max="2"/>
    <col width="8.28515625" bestFit="1" customWidth="1" style="100" min="3" max="3"/>
    <col width="11.85546875" customWidth="1" style="100" min="4" max="4"/>
    <col width="4.5703125" customWidth="1" style="100" min="5" max="5"/>
    <col width="9.42578125" bestFit="1" customWidth="1" style="100" min="6" max="8"/>
    <col width="11.5703125" customWidth="1" style="100" min="9" max="9"/>
    <col width="9.140625" bestFit="1" customWidth="1" style="100" min="10" max="10"/>
    <col width="8.7109375" customWidth="1" style="100" min="11" max="11"/>
    <col width="10.140625" bestFit="1" customWidth="1" style="100" min="12" max="12"/>
    <col width="15.85546875" customWidth="1" style="72" min="13" max="13"/>
    <col width="11" bestFit="1" customWidth="1" style="72" min="14" max="14"/>
    <col width="11.7109375" bestFit="1" customWidth="1" style="72" min="15" max="16"/>
  </cols>
  <sheetData>
    <row r="1" ht="15.75" customHeight="1" s="72" thickBot="1">
      <c r="A1" s="96" t="inlineStr">
        <is>
          <t>OPTIFIRST TZ LIMITED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2" t="n"/>
    </row>
    <row r="2">
      <c r="A2" s="97" t="inlineStr">
        <is>
          <t>Daily sales and collection Report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  <c r="R2" s="99" t="n"/>
    </row>
    <row r="3">
      <c r="A3" s="58" t="inlineStr">
        <is>
          <t>KUKU Shop :</t>
        </is>
      </c>
      <c r="D3" t="inlineStr">
        <is>
          <t>Kisutu Shop</t>
        </is>
      </c>
      <c r="G3" s="68" t="n"/>
      <c r="I3" s="68" t="n"/>
      <c r="R3" s="2" t="n"/>
    </row>
    <row r="4">
      <c r="A4" s="58" t="inlineStr">
        <is>
          <t>Month :</t>
        </is>
      </c>
      <c r="D4">
        <f>TEXT(B9,"mmm-yy")</f>
        <v/>
      </c>
      <c r="G4" s="68" t="n"/>
      <c r="I4" s="68" t="n"/>
      <c r="R4" s="2" t="n"/>
    </row>
    <row r="5">
      <c r="A5" s="58" t="inlineStr">
        <is>
          <t>Incharge :</t>
        </is>
      </c>
      <c r="D5" t="inlineStr">
        <is>
          <t>Agnes</t>
        </is>
      </c>
      <c r="H5" s="68" t="n"/>
      <c r="I5" s="68" t="n"/>
      <c r="R5" s="2" t="n"/>
    </row>
    <row r="6" ht="15.75" customHeight="1" s="72" thickBot="1">
      <c r="A6" s="58" t="n"/>
      <c r="H6" s="68" t="n"/>
      <c r="I6" s="68" t="n"/>
      <c r="R6" s="2" t="n"/>
    </row>
    <row r="7" ht="15.75" customHeight="1" s="72" thickBot="1">
      <c r="A7" s="36" t="inlineStr">
        <is>
          <t>Sl.No</t>
        </is>
      </c>
      <c r="B7" s="36" t="inlineStr">
        <is>
          <t>Date</t>
        </is>
      </c>
      <c r="C7" s="36" t="inlineStr">
        <is>
          <t>Day</t>
        </is>
      </c>
      <c r="D7" s="36" t="inlineStr">
        <is>
          <t>Cash sales(A)</t>
        </is>
      </c>
      <c r="E7" s="99" t="n"/>
      <c r="F7" s="60" t="inlineStr">
        <is>
          <t>Credit sales(B)</t>
        </is>
      </c>
      <c r="G7" s="20" t="n"/>
      <c r="H7" s="20" t="n"/>
      <c r="I7" s="101" t="inlineStr">
        <is>
          <t>Total Sales
C=(A+B)</t>
        </is>
      </c>
      <c r="J7" s="36" t="inlineStr">
        <is>
          <t>Cash sale Deposits</t>
        </is>
      </c>
      <c r="K7" s="20" t="n"/>
      <c r="L7" s="22" t="n"/>
      <c r="M7" s="36" t="inlineStr">
        <is>
          <t>Deposit in Bank</t>
        </is>
      </c>
      <c r="N7" s="101" t="inlineStr">
        <is>
          <t>Date of Deposit</t>
        </is>
      </c>
      <c r="O7" s="101" t="inlineStr">
        <is>
          <t>EFD Z Report</t>
        </is>
      </c>
      <c r="P7" s="101" t="inlineStr">
        <is>
          <t>Sales vs EFD</t>
        </is>
      </c>
      <c r="Q7" s="36" t="inlineStr">
        <is>
          <t>Name</t>
        </is>
      </c>
      <c r="R7" s="36" t="inlineStr">
        <is>
          <t>Signature</t>
        </is>
      </c>
    </row>
    <row r="8" ht="15.75" customHeight="1" s="72" thickBot="1">
      <c r="A8" s="102" t="n"/>
      <c r="B8" s="102" t="n"/>
      <c r="C8" s="102" t="n"/>
      <c r="D8" s="70" t="n"/>
      <c r="E8" s="5" t="n"/>
      <c r="F8" s="36" t="n"/>
      <c r="G8" s="36" t="n"/>
      <c r="H8" s="60" t="n"/>
      <c r="I8" s="102" t="n"/>
      <c r="J8" s="36" t="inlineStr">
        <is>
          <t>Cash</t>
        </is>
      </c>
      <c r="K8" s="36" t="inlineStr">
        <is>
          <t>LIPA</t>
        </is>
      </c>
      <c r="L8" s="36" t="inlineStr">
        <is>
          <t>Variance</t>
        </is>
      </c>
      <c r="M8" s="102" t="n"/>
      <c r="N8" s="102" t="n"/>
      <c r="O8" s="102" t="n"/>
      <c r="P8" s="102" t="n"/>
      <c r="Q8" s="102" t="n"/>
      <c r="R8" s="102" t="n"/>
    </row>
    <row r="9">
      <c r="A9" s="31" t="n">
        <v>1</v>
      </c>
      <c r="B9" s="82" t="n"/>
      <c r="C9" s="103">
        <f>TEXT(B9,"ddd")</f>
        <v/>
      </c>
      <c r="D9" s="104" t="n"/>
      <c r="E9" s="105" t="n"/>
      <c r="F9" s="103" t="n">
        <v>0</v>
      </c>
      <c r="G9" s="103" t="n">
        <v>0</v>
      </c>
      <c r="H9" s="106" t="n">
        <v>0</v>
      </c>
      <c r="I9" s="106">
        <f>SUM(D9:H9)</f>
        <v/>
      </c>
      <c r="J9" s="106" t="n"/>
      <c r="K9" s="103" t="n"/>
      <c r="L9" s="103">
        <f>+D9-J9-K9</f>
        <v/>
      </c>
      <c r="M9" s="30" t="n"/>
      <c r="N9" s="82" t="n"/>
      <c r="O9" s="114" t="n"/>
      <c r="P9" s="114">
        <f>+I9-O9</f>
        <v/>
      </c>
      <c r="Q9" s="37" t="inlineStr">
        <is>
          <t>Agnes</t>
        </is>
      </c>
      <c r="R9" s="33" t="n"/>
    </row>
    <row r="10">
      <c r="A10" s="32">
        <f>+A9+1</f>
        <v/>
      </c>
      <c r="B10" s="29" t="n"/>
      <c r="C10" s="107">
        <f>TEXT(B10,"ddd")</f>
        <v/>
      </c>
      <c r="D10" s="108" t="n"/>
      <c r="E10" s="109" t="n"/>
      <c r="F10" s="107" t="n"/>
      <c r="G10" s="107" t="n"/>
      <c r="H10" s="108" t="n"/>
      <c r="I10" s="108">
        <f>SUM(D10:H10)</f>
        <v/>
      </c>
      <c r="J10" s="108" t="n"/>
      <c r="K10" s="107" t="n"/>
      <c r="L10" s="107">
        <f>+D10-J10-K10</f>
        <v/>
      </c>
      <c r="M10" s="29" t="n"/>
      <c r="N10" s="29" t="n"/>
      <c r="O10" s="114" t="n"/>
      <c r="P10" s="114">
        <f>+I10-O10</f>
        <v/>
      </c>
      <c r="Q10" s="37" t="n"/>
      <c r="R10" s="33" t="n"/>
    </row>
    <row r="11">
      <c r="A11" s="32">
        <f>+A10+1</f>
        <v/>
      </c>
      <c r="B11" s="29" t="n"/>
      <c r="C11" s="107">
        <f>TEXT(B11,"ddd")</f>
        <v/>
      </c>
      <c r="D11" s="108" t="n"/>
      <c r="E11" s="109" t="n"/>
      <c r="F11" s="107" t="n"/>
      <c r="G11" s="107" t="n"/>
      <c r="H11" s="108" t="n"/>
      <c r="I11" s="108">
        <f>SUM(D11:H11)</f>
        <v/>
      </c>
      <c r="J11" s="108" t="n"/>
      <c r="K11" s="107" t="n"/>
      <c r="L11" s="107">
        <f>+D11-J11-K11</f>
        <v/>
      </c>
      <c r="M11" s="29" t="n"/>
      <c r="N11" s="29" t="n"/>
      <c r="O11" s="114" t="n"/>
      <c r="P11" s="114">
        <f>+I11-O11</f>
        <v/>
      </c>
      <c r="Q11" s="37" t="n"/>
      <c r="R11" s="33" t="n"/>
    </row>
    <row r="12">
      <c r="A12" s="32">
        <f>+A11+1</f>
        <v/>
      </c>
      <c r="B12" s="29" t="n"/>
      <c r="C12" s="107">
        <f>TEXT(B12,"ddd")</f>
        <v/>
      </c>
      <c r="D12" s="108" t="n"/>
      <c r="E12" s="109" t="n"/>
      <c r="F12" s="107" t="n"/>
      <c r="G12" s="107" t="n"/>
      <c r="H12" s="108" t="n"/>
      <c r="I12" s="108">
        <f>SUM(D12:H12)</f>
        <v/>
      </c>
      <c r="J12" s="108" t="n"/>
      <c r="K12" s="107" t="n"/>
      <c r="L12" s="107">
        <f>+D12-J12-K12</f>
        <v/>
      </c>
      <c r="M12" s="29" t="n"/>
      <c r="N12" s="29" t="n"/>
      <c r="O12" s="114" t="n"/>
      <c r="P12" s="114">
        <f>+I12-O12</f>
        <v/>
      </c>
      <c r="Q12" s="37" t="n"/>
      <c r="R12" s="33" t="n"/>
    </row>
    <row r="13">
      <c r="A13" s="32">
        <f>+A12+1</f>
        <v/>
      </c>
      <c r="B13" s="29" t="n"/>
      <c r="C13" s="107">
        <f>TEXT(B13,"ddd")</f>
        <v/>
      </c>
      <c r="D13" s="108" t="n"/>
      <c r="E13" s="109" t="n"/>
      <c r="F13" s="107" t="n"/>
      <c r="G13" s="107" t="n"/>
      <c r="H13" s="108" t="n"/>
      <c r="I13" s="108">
        <f>SUM(D13:H13)</f>
        <v/>
      </c>
      <c r="J13" s="108" t="n"/>
      <c r="K13" s="107" t="n"/>
      <c r="L13" s="107">
        <f>+D13-J13-K13</f>
        <v/>
      </c>
      <c r="M13" s="29" t="n"/>
      <c r="N13" s="29" t="n"/>
      <c r="O13" s="114" t="n"/>
      <c r="P13" s="114">
        <f>+I13-O13</f>
        <v/>
      </c>
      <c r="Q13" s="37" t="n"/>
      <c r="R13" s="33" t="n"/>
    </row>
    <row r="14">
      <c r="A14" s="32">
        <f>+A13+1</f>
        <v/>
      </c>
      <c r="B14" s="29" t="n"/>
      <c r="C14" s="107">
        <f>TEXT(B14,"ddd")</f>
        <v/>
      </c>
      <c r="D14" s="108" t="n"/>
      <c r="E14" s="109" t="n"/>
      <c r="F14" s="107" t="n"/>
      <c r="G14" s="107" t="n"/>
      <c r="H14" s="108" t="n"/>
      <c r="I14" s="108">
        <f>SUM(D14:H14)</f>
        <v/>
      </c>
      <c r="J14" s="108" t="n"/>
      <c r="K14" s="107" t="n"/>
      <c r="L14" s="107">
        <f>+D14-J14-K14</f>
        <v/>
      </c>
      <c r="M14" s="29" t="n"/>
      <c r="N14" s="29" t="n"/>
      <c r="O14" s="114" t="n"/>
      <c r="P14" s="114">
        <f>+I14-O14</f>
        <v/>
      </c>
      <c r="Q14" s="37" t="n"/>
      <c r="R14" s="33" t="n"/>
    </row>
    <row r="15">
      <c r="A15" s="32">
        <f>+A14+1</f>
        <v/>
      </c>
      <c r="B15" s="29" t="n"/>
      <c r="C15" s="107">
        <f>TEXT(B15,"ddd")</f>
        <v/>
      </c>
      <c r="D15" s="108" t="n"/>
      <c r="E15" s="109" t="n"/>
      <c r="F15" s="107" t="n"/>
      <c r="G15" s="107" t="n"/>
      <c r="H15" s="108" t="n"/>
      <c r="I15" s="108">
        <f>SUM(D15:H15)</f>
        <v/>
      </c>
      <c r="J15" s="108" t="n"/>
      <c r="K15" s="107" t="n"/>
      <c r="L15" s="107">
        <f>+D15-J15-K15</f>
        <v/>
      </c>
      <c r="M15" s="29" t="n"/>
      <c r="N15" s="29" t="n"/>
      <c r="O15" s="114" t="n"/>
      <c r="P15" s="114">
        <f>+I15-O15</f>
        <v/>
      </c>
      <c r="Q15" s="37" t="n"/>
      <c r="R15" s="33" t="n"/>
    </row>
    <row r="16">
      <c r="A16" s="32">
        <f>+A15+1</f>
        <v/>
      </c>
      <c r="B16" s="29" t="n"/>
      <c r="C16" s="107">
        <f>TEXT(B16,"ddd")</f>
        <v/>
      </c>
      <c r="D16" s="108" t="n"/>
      <c r="E16" s="109" t="n"/>
      <c r="F16" s="107" t="n"/>
      <c r="G16" s="107" t="n"/>
      <c r="H16" s="108" t="n"/>
      <c r="I16" s="108">
        <f>SUM(D16:H16)</f>
        <v/>
      </c>
      <c r="J16" s="108" t="n"/>
      <c r="K16" s="107" t="n"/>
      <c r="L16" s="107">
        <f>+D16-J16-K16</f>
        <v/>
      </c>
      <c r="M16" s="29" t="n"/>
      <c r="N16" s="29" t="n"/>
      <c r="O16" s="114" t="n"/>
      <c r="P16" s="114">
        <f>+I16-O16</f>
        <v/>
      </c>
      <c r="Q16" s="37" t="n"/>
      <c r="R16" s="33" t="n"/>
    </row>
    <row r="17">
      <c r="A17" s="32">
        <f>+A16+1</f>
        <v/>
      </c>
      <c r="B17" s="29" t="n"/>
      <c r="C17" s="107">
        <f>TEXT(B17,"ddd")</f>
        <v/>
      </c>
      <c r="D17" s="108" t="n"/>
      <c r="E17" s="109" t="n"/>
      <c r="F17" s="107" t="n"/>
      <c r="G17" s="107" t="n"/>
      <c r="H17" s="108" t="n"/>
      <c r="I17" s="108">
        <f>SUM(D17:H17)</f>
        <v/>
      </c>
      <c r="J17" s="108" t="n"/>
      <c r="K17" s="107" t="n"/>
      <c r="L17" s="107">
        <f>+D17-J17-K17</f>
        <v/>
      </c>
      <c r="M17" s="29" t="n"/>
      <c r="N17" s="29" t="n"/>
      <c r="O17" s="114" t="n"/>
      <c r="P17" s="114">
        <f>+I17-O17</f>
        <v/>
      </c>
      <c r="Q17" s="37" t="n"/>
      <c r="R17" s="33" t="n"/>
    </row>
    <row r="18">
      <c r="A18" s="32">
        <f>+A17+1</f>
        <v/>
      </c>
      <c r="B18" s="29" t="n"/>
      <c r="C18" s="107">
        <f>TEXT(B18,"ddd")</f>
        <v/>
      </c>
      <c r="D18" s="108" t="n"/>
      <c r="E18" s="109" t="n"/>
      <c r="F18" s="107" t="n"/>
      <c r="G18" s="107" t="n"/>
      <c r="H18" s="108" t="n"/>
      <c r="I18" s="108">
        <f>SUM(D18:H18)</f>
        <v/>
      </c>
      <c r="J18" s="108" t="n"/>
      <c r="K18" s="107" t="n"/>
      <c r="L18" s="107">
        <f>+D18-J18-K18</f>
        <v/>
      </c>
      <c r="M18" s="29" t="n"/>
      <c r="N18" s="29" t="n"/>
      <c r="O18" s="114" t="n"/>
      <c r="P18" s="114">
        <f>+I18-O18</f>
        <v/>
      </c>
      <c r="Q18" s="37" t="n"/>
      <c r="R18" s="33" t="n"/>
    </row>
    <row r="19">
      <c r="A19" s="32">
        <f>+A18+1</f>
        <v/>
      </c>
      <c r="B19" s="29" t="n"/>
      <c r="C19" s="107">
        <f>TEXT(B19,"ddd")</f>
        <v/>
      </c>
      <c r="D19" s="108" t="n"/>
      <c r="E19" s="109" t="n"/>
      <c r="F19" s="107" t="n"/>
      <c r="G19" s="107" t="n"/>
      <c r="H19" s="108" t="n"/>
      <c r="I19" s="108">
        <f>SUM(D19:H19)</f>
        <v/>
      </c>
      <c r="J19" s="108" t="n"/>
      <c r="K19" s="107" t="n"/>
      <c r="L19" s="107">
        <f>+D19-J19-K19</f>
        <v/>
      </c>
      <c r="M19" s="29" t="n"/>
      <c r="N19" s="29" t="n"/>
      <c r="O19" s="114" t="n"/>
      <c r="P19" s="114">
        <f>+I19-O19</f>
        <v/>
      </c>
      <c r="Q19" s="37" t="n"/>
      <c r="R19" s="33" t="n"/>
    </row>
    <row r="20">
      <c r="A20" s="32">
        <f>+A19+1</f>
        <v/>
      </c>
      <c r="B20" s="29" t="n"/>
      <c r="C20" s="107">
        <f>TEXT(B20,"ddd")</f>
        <v/>
      </c>
      <c r="D20" s="108" t="n"/>
      <c r="E20" s="109" t="n"/>
      <c r="F20" s="107" t="n"/>
      <c r="G20" s="107" t="n"/>
      <c r="H20" s="108" t="n"/>
      <c r="I20" s="108">
        <f>SUM(D20:H20)</f>
        <v/>
      </c>
      <c r="J20" s="108" t="n"/>
      <c r="K20" s="107" t="n"/>
      <c r="L20" s="107">
        <f>+D20-J20-K20</f>
        <v/>
      </c>
      <c r="M20" s="29" t="n"/>
      <c r="N20" s="29" t="n"/>
      <c r="O20" s="114" t="n"/>
      <c r="P20" s="114">
        <f>+I20-O20</f>
        <v/>
      </c>
      <c r="Q20" s="37" t="n"/>
      <c r="R20" s="33" t="n"/>
    </row>
    <row r="21">
      <c r="A21" s="32">
        <f>+A20+1</f>
        <v/>
      </c>
      <c r="B21" s="29" t="n"/>
      <c r="C21" s="107">
        <f>TEXT(B21,"ddd")</f>
        <v/>
      </c>
      <c r="D21" s="108" t="n"/>
      <c r="E21" s="109" t="n"/>
      <c r="F21" s="107" t="n"/>
      <c r="G21" s="107" t="n"/>
      <c r="H21" s="108" t="n"/>
      <c r="I21" s="108">
        <f>SUM(D21:H21)</f>
        <v/>
      </c>
      <c r="J21" s="108" t="n"/>
      <c r="K21" s="107" t="n"/>
      <c r="L21" s="107">
        <f>+D21-J21-K21</f>
        <v/>
      </c>
      <c r="M21" s="29" t="n"/>
      <c r="N21" s="29" t="n"/>
      <c r="O21" s="114" t="n"/>
      <c r="P21" s="114">
        <f>+I21-O21</f>
        <v/>
      </c>
      <c r="Q21" s="37" t="n"/>
      <c r="R21" s="33" t="n"/>
    </row>
    <row r="22">
      <c r="A22" s="32">
        <f>+A21+1</f>
        <v/>
      </c>
      <c r="B22" s="29" t="n"/>
      <c r="C22" s="107">
        <f>TEXT(B22,"ddd")</f>
        <v/>
      </c>
      <c r="D22" s="108" t="n"/>
      <c r="E22" s="109" t="n"/>
      <c r="F22" s="107" t="n"/>
      <c r="G22" s="107" t="n"/>
      <c r="H22" s="108" t="n"/>
      <c r="I22" s="108">
        <f>SUM(D22:H22)</f>
        <v/>
      </c>
      <c r="J22" s="108" t="n"/>
      <c r="K22" s="107" t="n"/>
      <c r="L22" s="107">
        <f>+D22-J22-K22</f>
        <v/>
      </c>
      <c r="M22" s="29" t="n"/>
      <c r="N22" s="29" t="n"/>
      <c r="O22" s="114" t="n"/>
      <c r="P22" s="114">
        <f>+I22-O22</f>
        <v/>
      </c>
      <c r="Q22" s="37" t="n"/>
      <c r="R22" s="33" t="n"/>
    </row>
    <row r="23">
      <c r="A23" s="32">
        <f>+A22+1</f>
        <v/>
      </c>
      <c r="B23" s="29" t="n"/>
      <c r="C23" s="107">
        <f>TEXT(B23,"ddd")</f>
        <v/>
      </c>
      <c r="D23" s="108" t="n"/>
      <c r="E23" s="109" t="n"/>
      <c r="F23" s="107" t="n"/>
      <c r="G23" s="107" t="n"/>
      <c r="H23" s="108" t="n"/>
      <c r="I23" s="108">
        <f>SUM(D23:H23)</f>
        <v/>
      </c>
      <c r="J23" s="108" t="n"/>
      <c r="K23" s="107" t="n"/>
      <c r="L23" s="107">
        <f>+D23-J23-K23</f>
        <v/>
      </c>
      <c r="M23" s="29" t="n"/>
      <c r="N23" s="29" t="n"/>
      <c r="O23" s="114" t="n"/>
      <c r="P23" s="114">
        <f>+I23-O23</f>
        <v/>
      </c>
      <c r="Q23" s="37" t="n"/>
      <c r="R23" s="33" t="n"/>
    </row>
    <row r="24">
      <c r="A24" s="32">
        <f>+A23+1</f>
        <v/>
      </c>
      <c r="B24" s="29" t="n"/>
      <c r="C24" s="107">
        <f>TEXT(B24,"ddd")</f>
        <v/>
      </c>
      <c r="D24" s="108" t="n"/>
      <c r="E24" s="109" t="n"/>
      <c r="F24" s="107" t="n"/>
      <c r="G24" s="107" t="n"/>
      <c r="H24" s="108" t="n"/>
      <c r="I24" s="108">
        <f>SUM(D24:H24)</f>
        <v/>
      </c>
      <c r="J24" s="108" t="n"/>
      <c r="K24" s="107" t="n"/>
      <c r="L24" s="107">
        <f>+D24-J24-K24</f>
        <v/>
      </c>
      <c r="M24" s="29" t="n"/>
      <c r="N24" s="29" t="n"/>
      <c r="O24" s="114" t="n"/>
      <c r="P24" s="114">
        <f>+I24-O24</f>
        <v/>
      </c>
      <c r="Q24" s="37" t="n"/>
      <c r="R24" s="33" t="n"/>
    </row>
    <row r="25">
      <c r="A25" s="32">
        <f>+A24+1</f>
        <v/>
      </c>
      <c r="B25" s="29" t="n"/>
      <c r="C25" s="107">
        <f>TEXT(B25,"ddd")</f>
        <v/>
      </c>
      <c r="D25" s="108" t="n"/>
      <c r="E25" s="109" t="n"/>
      <c r="F25" s="107" t="n"/>
      <c r="G25" s="107" t="n"/>
      <c r="H25" s="108" t="n"/>
      <c r="I25" s="108">
        <f>SUM(D25:H25)</f>
        <v/>
      </c>
      <c r="J25" s="107" t="n"/>
      <c r="K25" s="107" t="n"/>
      <c r="L25" s="107">
        <f>+D25-J25-K25</f>
        <v/>
      </c>
      <c r="M25" s="29" t="n"/>
      <c r="N25" s="29" t="n"/>
      <c r="O25" s="114" t="n"/>
      <c r="P25" s="114">
        <f>+I25-O25</f>
        <v/>
      </c>
      <c r="Q25" s="37" t="n"/>
      <c r="R25" s="33" t="n"/>
    </row>
    <row r="26">
      <c r="A26" s="32">
        <f>+A25+1</f>
        <v/>
      </c>
      <c r="B26" s="29" t="n"/>
      <c r="C26" s="107">
        <f>TEXT(B26,"ddd")</f>
        <v/>
      </c>
      <c r="D26" s="108" t="n"/>
      <c r="E26" s="109" t="n"/>
      <c r="F26" s="107" t="n"/>
      <c r="G26" s="107" t="n"/>
      <c r="H26" s="108" t="n"/>
      <c r="I26" s="108">
        <f>SUM(D26:H26)</f>
        <v/>
      </c>
      <c r="J26" s="107" t="n"/>
      <c r="K26" s="107" t="n"/>
      <c r="L26" s="107">
        <f>+D26-J26-K26</f>
        <v/>
      </c>
      <c r="M26" s="29" t="n"/>
      <c r="N26" s="29" t="n"/>
      <c r="O26" s="37" t="n"/>
      <c r="P26" s="37">
        <f>+I26-O26</f>
        <v/>
      </c>
      <c r="Q26" s="37" t="n"/>
      <c r="R26" s="33" t="n"/>
    </row>
    <row r="27">
      <c r="A27" s="32">
        <f>+A26+1</f>
        <v/>
      </c>
      <c r="B27" s="29" t="n"/>
      <c r="C27" s="107">
        <f>TEXT(B27,"ddd")</f>
        <v/>
      </c>
      <c r="D27" s="108" t="n"/>
      <c r="E27" s="109" t="n"/>
      <c r="F27" s="107" t="n"/>
      <c r="G27" s="107" t="n"/>
      <c r="H27" s="108" t="n"/>
      <c r="I27" s="108">
        <f>SUM(D27:H27)</f>
        <v/>
      </c>
      <c r="J27" s="107" t="n"/>
      <c r="K27" s="107" t="n"/>
      <c r="L27" s="107">
        <f>+D27-J27-K27</f>
        <v/>
      </c>
      <c r="M27" s="29" t="n"/>
      <c r="N27" s="29" t="n"/>
      <c r="O27" s="37" t="n"/>
      <c r="P27" s="37">
        <f>+I27-O27</f>
        <v/>
      </c>
      <c r="Q27" s="37" t="n"/>
      <c r="R27" s="33" t="n"/>
    </row>
    <row r="28">
      <c r="A28" s="32">
        <f>+A27+1</f>
        <v/>
      </c>
      <c r="B28" s="29" t="n"/>
      <c r="C28" s="107">
        <f>TEXT(B28,"ddd")</f>
        <v/>
      </c>
      <c r="D28" s="108" t="n"/>
      <c r="E28" s="109" t="n"/>
      <c r="F28" s="107" t="n"/>
      <c r="G28" s="107" t="n"/>
      <c r="H28" s="108" t="n"/>
      <c r="I28" s="108">
        <f>SUM(D28:H28)</f>
        <v/>
      </c>
      <c r="J28" s="107" t="n"/>
      <c r="K28" s="107" t="n"/>
      <c r="L28" s="107">
        <f>+D28-J28-K28</f>
        <v/>
      </c>
      <c r="M28" s="29" t="n"/>
      <c r="N28" s="29" t="n"/>
      <c r="O28" s="37" t="n"/>
      <c r="P28" s="37">
        <f>+I28-O28</f>
        <v/>
      </c>
      <c r="Q28" s="37" t="n"/>
      <c r="R28" s="33" t="n"/>
    </row>
    <row r="29">
      <c r="A29" s="32">
        <f>+A28+1</f>
        <v/>
      </c>
      <c r="B29" s="29" t="n"/>
      <c r="C29" s="107">
        <f>TEXT(B29,"ddd")</f>
        <v/>
      </c>
      <c r="D29" s="108" t="n"/>
      <c r="E29" s="109" t="n"/>
      <c r="F29" s="107" t="n"/>
      <c r="G29" s="107" t="n"/>
      <c r="H29" s="108" t="n"/>
      <c r="I29" s="108">
        <f>SUM(D29:H29)</f>
        <v/>
      </c>
      <c r="J29" s="107" t="n"/>
      <c r="K29" s="107" t="n"/>
      <c r="L29" s="107">
        <f>+D29-J29-K29</f>
        <v/>
      </c>
      <c r="M29" s="29" t="n"/>
      <c r="N29" s="29" t="n"/>
      <c r="O29" s="37" t="n"/>
      <c r="P29" s="37">
        <f>+I29-O29</f>
        <v/>
      </c>
      <c r="Q29" s="37" t="n"/>
      <c r="R29" s="33" t="n"/>
    </row>
    <row r="30">
      <c r="A30" s="32">
        <f>+A29+1</f>
        <v/>
      </c>
      <c r="B30" s="29" t="n"/>
      <c r="C30" s="107">
        <f>TEXT(B30,"ddd")</f>
        <v/>
      </c>
      <c r="D30" s="108" t="n"/>
      <c r="E30" s="109" t="n"/>
      <c r="F30" s="107" t="n"/>
      <c r="G30" s="107" t="n"/>
      <c r="H30" s="108" t="n"/>
      <c r="I30" s="108">
        <f>SUM(D30:H30)</f>
        <v/>
      </c>
      <c r="J30" s="107" t="n"/>
      <c r="K30" s="107" t="n"/>
      <c r="L30" s="107">
        <f>+D30-J30-K30</f>
        <v/>
      </c>
      <c r="M30" s="29" t="n"/>
      <c r="N30" s="29" t="n"/>
      <c r="O30" s="37" t="n"/>
      <c r="P30" s="37">
        <f>+I30-O30</f>
        <v/>
      </c>
      <c r="Q30" s="37" t="n"/>
      <c r="R30" s="33" t="n"/>
    </row>
    <row r="31">
      <c r="A31" s="32">
        <f>+A30+1</f>
        <v/>
      </c>
      <c r="B31" s="29" t="n"/>
      <c r="C31" s="107">
        <f>TEXT(B31,"ddd")</f>
        <v/>
      </c>
      <c r="D31" s="108" t="n"/>
      <c r="E31" s="109" t="n"/>
      <c r="F31" s="107" t="n"/>
      <c r="G31" s="107" t="n"/>
      <c r="H31" s="108" t="n"/>
      <c r="I31" s="108">
        <f>SUM(D31:H31)</f>
        <v/>
      </c>
      <c r="J31" s="107" t="n"/>
      <c r="K31" s="107" t="n"/>
      <c r="L31" s="107">
        <f>+D31-J31-K31</f>
        <v/>
      </c>
      <c r="M31" s="29" t="n"/>
      <c r="N31" s="29" t="n"/>
      <c r="O31" s="37" t="n"/>
      <c r="P31" s="37">
        <f>+I31-O31</f>
        <v/>
      </c>
      <c r="Q31" s="37" t="n"/>
      <c r="R31" s="33" t="n"/>
    </row>
    <row r="32">
      <c r="A32" s="32">
        <f>+A31+1</f>
        <v/>
      </c>
      <c r="B32" s="29" t="n"/>
      <c r="C32" s="107">
        <f>TEXT(B32,"ddd")</f>
        <v/>
      </c>
      <c r="D32" s="108" t="n"/>
      <c r="E32" s="109" t="n"/>
      <c r="F32" s="107" t="n"/>
      <c r="G32" s="107" t="n"/>
      <c r="H32" s="108" t="n"/>
      <c r="I32" s="108">
        <f>SUM(D32:H32)</f>
        <v/>
      </c>
      <c r="J32" s="107" t="n"/>
      <c r="K32" s="107" t="n"/>
      <c r="L32" s="107">
        <f>+D32-J32-K32</f>
        <v/>
      </c>
      <c r="M32" s="29" t="n"/>
      <c r="N32" s="29" t="n"/>
      <c r="O32" s="37" t="n"/>
      <c r="P32" s="37">
        <f>+I32-O32</f>
        <v/>
      </c>
      <c r="Q32" s="37" t="n"/>
      <c r="R32" s="33" t="n"/>
    </row>
    <row r="33">
      <c r="A33" s="32">
        <f>+A32+1</f>
        <v/>
      </c>
      <c r="B33" s="29" t="n"/>
      <c r="C33" s="107">
        <f>TEXT(B33,"ddd")</f>
        <v/>
      </c>
      <c r="D33" s="108" t="n"/>
      <c r="E33" s="109" t="n"/>
      <c r="F33" s="107" t="n"/>
      <c r="G33" s="107" t="n"/>
      <c r="H33" s="108" t="n"/>
      <c r="I33" s="108">
        <f>SUM(D33:H33)</f>
        <v/>
      </c>
      <c r="J33" s="107" t="n"/>
      <c r="K33" s="107" t="n"/>
      <c r="L33" s="107">
        <f>+D33-J33-K33</f>
        <v/>
      </c>
      <c r="M33" s="29" t="n"/>
      <c r="N33" s="29" t="n"/>
      <c r="O33" s="37" t="n"/>
      <c r="P33" s="37">
        <f>+I33-O33</f>
        <v/>
      </c>
      <c r="Q33" s="37" t="n"/>
      <c r="R33" s="33" t="n"/>
    </row>
    <row r="34">
      <c r="A34" s="32">
        <f>+A33+1</f>
        <v/>
      </c>
      <c r="B34" s="29" t="n"/>
      <c r="C34" s="107">
        <f>TEXT(B34,"ddd")</f>
        <v/>
      </c>
      <c r="D34" s="108" t="n"/>
      <c r="E34" s="109" t="n"/>
      <c r="F34" s="107" t="n"/>
      <c r="G34" s="107" t="n"/>
      <c r="H34" s="108" t="n"/>
      <c r="I34" s="108">
        <f>SUM(D34:H34)</f>
        <v/>
      </c>
      <c r="J34" s="107" t="n"/>
      <c r="K34" s="107" t="n"/>
      <c r="L34" s="107">
        <f>+D34-J34-K34</f>
        <v/>
      </c>
      <c r="M34" s="29" t="n"/>
      <c r="N34" s="29" t="n"/>
      <c r="O34" s="37" t="n"/>
      <c r="P34" s="37">
        <f>+I34-O34</f>
        <v/>
      </c>
      <c r="Q34" s="37" t="n"/>
      <c r="R34" s="33" t="n"/>
    </row>
    <row r="35">
      <c r="A35" s="32">
        <f>+A34+1</f>
        <v/>
      </c>
      <c r="B35" s="29" t="n"/>
      <c r="C35" s="107">
        <f>TEXT(B35,"ddd")</f>
        <v/>
      </c>
      <c r="D35" s="108" t="n"/>
      <c r="E35" s="109" t="n"/>
      <c r="F35" s="107" t="n"/>
      <c r="G35" s="107" t="n"/>
      <c r="H35" s="108" t="n"/>
      <c r="I35" s="108">
        <f>SUM(D35:H35)</f>
        <v/>
      </c>
      <c r="J35" s="107" t="n"/>
      <c r="K35" s="107" t="n"/>
      <c r="L35" s="107">
        <f>+D35-J35-K35</f>
        <v/>
      </c>
      <c r="M35" s="29" t="n"/>
      <c r="N35" s="29" t="n"/>
      <c r="O35" s="37" t="n"/>
      <c r="P35" s="37">
        <f>+I35-O35</f>
        <v/>
      </c>
      <c r="Q35" s="37" t="n"/>
      <c r="R35" s="33" t="n"/>
    </row>
    <row r="36">
      <c r="A36" s="32">
        <f>+A35+1</f>
        <v/>
      </c>
      <c r="B36" s="29" t="n"/>
      <c r="C36" s="107">
        <f>TEXT(B36,"ddd")</f>
        <v/>
      </c>
      <c r="D36" s="108" t="n"/>
      <c r="E36" s="109" t="n"/>
      <c r="F36" s="107" t="n"/>
      <c r="G36" s="107" t="n"/>
      <c r="H36" s="108" t="n"/>
      <c r="I36" s="108">
        <f>SUM(D36:H36)</f>
        <v/>
      </c>
      <c r="J36" s="107" t="n"/>
      <c r="K36" s="107" t="n"/>
      <c r="L36" s="107">
        <f>+D36-J36-K36</f>
        <v/>
      </c>
      <c r="M36" s="29" t="n"/>
      <c r="N36" s="29" t="n"/>
      <c r="O36" s="37" t="n"/>
      <c r="P36" s="37">
        <f>+I36-O36</f>
        <v/>
      </c>
      <c r="Q36" s="37" t="n"/>
      <c r="R36" s="33" t="n"/>
    </row>
    <row r="37">
      <c r="A37" s="32">
        <f>+A36+1</f>
        <v/>
      </c>
      <c r="B37" s="29" t="n"/>
      <c r="C37" s="107">
        <f>TEXT(B37,"ddd")</f>
        <v/>
      </c>
      <c r="D37" s="108" t="n"/>
      <c r="E37" s="109" t="n"/>
      <c r="F37" s="107" t="n"/>
      <c r="G37" s="107" t="n"/>
      <c r="H37" s="108" t="n"/>
      <c r="I37" s="108">
        <f>SUM(D37:H37)</f>
        <v/>
      </c>
      <c r="J37" s="107" t="n"/>
      <c r="K37" s="107" t="n"/>
      <c r="L37" s="107">
        <f>+D37-J37-K37</f>
        <v/>
      </c>
      <c r="M37" s="29" t="n"/>
      <c r="N37" s="29" t="n"/>
      <c r="O37" s="37" t="n"/>
      <c r="P37" s="37">
        <f>+I37-O37</f>
        <v/>
      </c>
      <c r="Q37" s="37" t="n"/>
      <c r="R37" s="33" t="n"/>
    </row>
    <row r="38">
      <c r="A38" s="32">
        <f>+A37+1</f>
        <v/>
      </c>
      <c r="B38" s="29" t="n"/>
      <c r="C38" s="107">
        <f>TEXT(B38,"ddd")</f>
        <v/>
      </c>
      <c r="D38" s="108" t="n"/>
      <c r="E38" s="109" t="n"/>
      <c r="F38" s="107" t="n"/>
      <c r="G38" s="107" t="n"/>
      <c r="H38" s="108" t="n"/>
      <c r="I38" s="108">
        <f>SUM(D38:H38)</f>
        <v/>
      </c>
      <c r="J38" s="107" t="n"/>
      <c r="K38" s="107" t="n"/>
      <c r="L38" s="107">
        <f>+D38-J38-K38</f>
        <v/>
      </c>
      <c r="M38" s="29" t="n"/>
      <c r="N38" s="29" t="n"/>
      <c r="O38" s="37" t="n"/>
      <c r="P38" s="37">
        <f>+I38-O38</f>
        <v/>
      </c>
      <c r="Q38" s="37" t="n"/>
      <c r="R38" s="33" t="n"/>
    </row>
    <row r="39">
      <c r="A39" s="32">
        <f>+A38+1</f>
        <v/>
      </c>
      <c r="B39" s="29" t="n"/>
      <c r="C39" s="107">
        <f>TEXT(B39,"ddd")</f>
        <v/>
      </c>
      <c r="D39" s="108" t="n"/>
      <c r="E39" s="109" t="n"/>
      <c r="F39" s="107" t="n"/>
      <c r="G39" s="107" t="n"/>
      <c r="H39" s="108" t="n"/>
      <c r="I39" s="108">
        <f>SUM(D39:H39)</f>
        <v/>
      </c>
      <c r="J39" s="107" t="n"/>
      <c r="K39" s="107" t="n"/>
      <c r="L39" s="107">
        <f>+D39-J39-K39</f>
        <v/>
      </c>
      <c r="M39" s="29" t="n"/>
      <c r="N39" s="29" t="n"/>
      <c r="O39" s="37" t="n"/>
      <c r="P39" s="37">
        <f>+I39-O39</f>
        <v/>
      </c>
      <c r="Q39" s="37" t="n"/>
      <c r="R39" s="33" t="n"/>
    </row>
    <row r="40" ht="15.75" customFormat="1" customHeight="1" s="3" thickBot="1">
      <c r="A40" s="34" t="n"/>
      <c r="B40" s="27" t="n"/>
      <c r="C40" s="110" t="n"/>
      <c r="D40" s="71" t="n"/>
      <c r="E40" s="111" t="n"/>
      <c r="F40" s="111" t="n"/>
      <c r="G40" s="111" t="n"/>
      <c r="H40" s="111" t="n"/>
      <c r="I40" s="111" t="n"/>
      <c r="J40" s="110" t="n"/>
      <c r="K40" s="111" t="n"/>
      <c r="L40" s="111" t="n"/>
      <c r="M40" s="27" t="n"/>
      <c r="N40" s="27" t="n"/>
      <c r="O40" s="27" t="n"/>
      <c r="P40" s="27" t="n"/>
      <c r="Q40" s="27" t="n"/>
      <c r="R40" s="28" t="n"/>
    </row>
  </sheetData>
  <mergeCells count="53">
    <mergeCell ref="D20:E20"/>
    <mergeCell ref="D10:E10"/>
    <mergeCell ref="D7:E8"/>
    <mergeCell ref="D19:E19"/>
    <mergeCell ref="D34:E34"/>
    <mergeCell ref="R7:R8"/>
    <mergeCell ref="A7:A8"/>
    <mergeCell ref="A3:C3"/>
    <mergeCell ref="D22:E22"/>
    <mergeCell ref="I7:I8"/>
    <mergeCell ref="D36:E36"/>
    <mergeCell ref="D31:E31"/>
    <mergeCell ref="M7:M8"/>
    <mergeCell ref="D21:E21"/>
    <mergeCell ref="J7:L7"/>
    <mergeCell ref="A5:C5"/>
    <mergeCell ref="A2:R2"/>
    <mergeCell ref="D13:E13"/>
    <mergeCell ref="D11:E11"/>
    <mergeCell ref="D27:E27"/>
    <mergeCell ref="D32:E32"/>
    <mergeCell ref="C40:D40"/>
    <mergeCell ref="D26:E26"/>
    <mergeCell ref="P7:P8"/>
    <mergeCell ref="D17:E17"/>
    <mergeCell ref="A4:C4"/>
    <mergeCell ref="G3:H3"/>
    <mergeCell ref="D16:E16"/>
    <mergeCell ref="D37:E37"/>
    <mergeCell ref="C7:C8"/>
    <mergeCell ref="D28:E28"/>
    <mergeCell ref="D18:E18"/>
    <mergeCell ref="O7:O8"/>
    <mergeCell ref="D9:E9"/>
    <mergeCell ref="Q7:Q8"/>
    <mergeCell ref="D12:E12"/>
    <mergeCell ref="D39:E39"/>
    <mergeCell ref="D25:E25"/>
    <mergeCell ref="G4:H4"/>
    <mergeCell ref="D30:E30"/>
    <mergeCell ref="D24:E24"/>
    <mergeCell ref="D15:E15"/>
    <mergeCell ref="D33:E33"/>
    <mergeCell ref="D29:E29"/>
    <mergeCell ref="A6:C6"/>
    <mergeCell ref="D23:E23"/>
    <mergeCell ref="D38:E38"/>
    <mergeCell ref="B7:B8"/>
    <mergeCell ref="D14:E14"/>
    <mergeCell ref="A1:R1"/>
    <mergeCell ref="F7:H7"/>
    <mergeCell ref="N7:N8"/>
    <mergeCell ref="D35:E35"/>
  </mergeCells>
  <conditionalFormatting sqref="L9:L26">
    <cfRule type="cellIs" priority="1" operator="greaterThan" dxfId="0">
      <formula>0</formula>
    </cfRule>
    <cfRule type="cellIs" priority="2" operator="equal" dxfId="1">
      <formula>0</formula>
    </cfRule>
  </conditionalFormatting>
  <pageMargins left="0.12" right="0.28" top="0.31" bottom="0.12" header="0.3" footer="0.12"/>
  <pageSetup orientation="landscape" scale="7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Harish Meda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2026-05-22T19:21:31Z</dcterms:modified>
  <cp:lastModifiedBy>Harish Meda</cp:lastModifiedBy>
  <cp:lastPrinted>2026-01-28T06:40:03Z</cp:lastPrinted>
</cp:coreProperties>
</file>