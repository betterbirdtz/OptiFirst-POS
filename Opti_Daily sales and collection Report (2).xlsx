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1cee7d35a2955b2/OptiFirst/Forms/"/>
    </mc:Choice>
  </mc:AlternateContent>
  <xr:revisionPtr revIDLastSave="548" documentId="8_{8CD5257A-6712-4423-BD30-C1AEB6B5DC71}" xr6:coauthVersionLast="47" xr6:coauthVersionMax="47" xr10:uidLastSave="{4E0DD90F-1947-451F-98AA-76161C7F2347}"/>
  <bookViews>
    <workbookView xWindow="-120" yWindow="-120" windowWidth="29040" windowHeight="15720" firstSheet="1" activeTab="4" xr2:uid="{00000000-000D-0000-FFFF-FFFF00000000}"/>
  </bookViews>
  <sheets>
    <sheet name="Live Weight" sheetId="1" state="hidden" r:id="rId1"/>
    <sheet name="Shop sales (2)" sheetId="4" r:id="rId2"/>
    <sheet name="Kigamboni" sheetId="2" r:id="rId3"/>
    <sheet name="Utumbo" sheetId="3" r:id="rId4"/>
    <sheet name="Kisutu" sheetId="5" r:id="rId5"/>
  </sheets>
  <definedNames>
    <definedName name="_xlnm.Print_Area" localSheetId="2">Kigamboni!$A$1:$R$40</definedName>
    <definedName name="_xlnm.Print_Area" localSheetId="4">Kisutu!$A$1:$R$40</definedName>
    <definedName name="_xlnm.Print_Area" localSheetId="0">'Live Weight'!$B$2:$M$39</definedName>
    <definedName name="_xlnm.Print_Area" localSheetId="1">'Shop sales (2)'!$A$1:$I$43</definedName>
    <definedName name="_xlnm.Print_Area" localSheetId="3">Utumbo!$A$1:$J$46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5" l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I9" i="5"/>
  <c r="P9" i="5" s="1"/>
  <c r="C9" i="5"/>
  <c r="D4" i="5"/>
  <c r="D4" i="2"/>
  <c r="C9" i="2"/>
  <c r="P9" i="2"/>
  <c r="L9" i="2"/>
  <c r="I9" i="2"/>
  <c r="A42" i="4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10" i="3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L9" i="5" l="1"/>
</calcChain>
</file>

<file path=xl/sharedStrings.xml><?xml version="1.0" encoding="utf-8"?>
<sst xmlns="http://schemas.openxmlformats.org/spreadsheetml/2006/main" count="133" uniqueCount="82">
  <si>
    <t>Date</t>
  </si>
  <si>
    <t>OPTIFIRST TZ LIMITED</t>
  </si>
  <si>
    <t>Sl.No</t>
  </si>
  <si>
    <t>Birds/Crate</t>
  </si>
  <si>
    <t>Total Birds</t>
  </si>
  <si>
    <t>Total No of Crates</t>
  </si>
  <si>
    <t>Name</t>
  </si>
  <si>
    <t>Driver</t>
  </si>
  <si>
    <t>Net Live Weight (Birds Only) KG</t>
  </si>
  <si>
    <t>Avg Live Weight (Birds Only) KG</t>
  </si>
  <si>
    <t>LIVE WEIGHT DETAILS</t>
  </si>
  <si>
    <t>MORTALITY &amp; SHORTAGE</t>
  </si>
  <si>
    <t>Dead on Arrival (DOA)</t>
  </si>
  <si>
    <t>Injured / Unfit Birds</t>
  </si>
  <si>
    <t>Shortage (if any)</t>
  </si>
  <si>
    <t>Net Accepted Birds</t>
  </si>
  <si>
    <t>Farm Supervisor</t>
  </si>
  <si>
    <t>Signature</t>
  </si>
  <si>
    <t>Time</t>
  </si>
  <si>
    <t>Slaughter QC / Vet</t>
  </si>
  <si>
    <t>Slaughter Incharge</t>
  </si>
  <si>
    <t>Movement of materials from production to the warehouse</t>
  </si>
  <si>
    <t>700 gm</t>
  </si>
  <si>
    <t>800 gm</t>
  </si>
  <si>
    <t>900 gm</t>
  </si>
  <si>
    <t>1000 gm</t>
  </si>
  <si>
    <t>1100 gm</t>
  </si>
  <si>
    <t>1200 gm</t>
  </si>
  <si>
    <t>1300 gm</t>
  </si>
  <si>
    <t>1400 gm</t>
  </si>
  <si>
    <t>1500 gm</t>
  </si>
  <si>
    <t>1600 gm</t>
  </si>
  <si>
    <t>1700 gm</t>
  </si>
  <si>
    <t>1800 gm</t>
  </si>
  <si>
    <t>1900 gm</t>
  </si>
  <si>
    <t>2000 gm</t>
  </si>
  <si>
    <t>2100 gm</t>
  </si>
  <si>
    <t>2200 gm</t>
  </si>
  <si>
    <t>2300 gm</t>
  </si>
  <si>
    <t>2400 gm</t>
  </si>
  <si>
    <t>2500 gm</t>
  </si>
  <si>
    <t>2600 gm</t>
  </si>
  <si>
    <t>Range</t>
  </si>
  <si>
    <t>Total</t>
  </si>
  <si>
    <t>Day</t>
  </si>
  <si>
    <t>Cash</t>
  </si>
  <si>
    <t>LIPA</t>
  </si>
  <si>
    <t>Variance</t>
  </si>
  <si>
    <t>Deposit in Bank</t>
  </si>
  <si>
    <t>Daily sales and collection Report</t>
  </si>
  <si>
    <t>Date of Deposit</t>
  </si>
  <si>
    <t>Cash sales(A)</t>
  </si>
  <si>
    <t>Credit sales(B)</t>
  </si>
  <si>
    <t>Total Sales
C=(A+B)</t>
  </si>
  <si>
    <t>KUKU Shop :</t>
  </si>
  <si>
    <t>Month :</t>
  </si>
  <si>
    <t>Incharge :</t>
  </si>
  <si>
    <t>Cash sale Deposits</t>
  </si>
  <si>
    <t>Utumbo Sales and collection</t>
  </si>
  <si>
    <t>Quantity sold</t>
  </si>
  <si>
    <t>Amount</t>
  </si>
  <si>
    <t>Deposit (Bank/Lipa)</t>
  </si>
  <si>
    <t>Remarks:</t>
  </si>
  <si>
    <t>EFD Z Report</t>
  </si>
  <si>
    <t>Sales vs EFD</t>
  </si>
  <si>
    <t xml:space="preserve">Daily sales </t>
  </si>
  <si>
    <t>Date :</t>
  </si>
  <si>
    <t>Description</t>
  </si>
  <si>
    <t>Incharge Name:</t>
  </si>
  <si>
    <t>Incharge Contact:</t>
  </si>
  <si>
    <t>UOM</t>
  </si>
  <si>
    <t>Cash Sales</t>
  </si>
  <si>
    <t>Credit sale</t>
  </si>
  <si>
    <t>Customer Name</t>
  </si>
  <si>
    <t>Rate</t>
  </si>
  <si>
    <t>Quanitty</t>
  </si>
  <si>
    <t>EFD Number</t>
  </si>
  <si>
    <t>Yes</t>
  </si>
  <si>
    <t>Jazila</t>
  </si>
  <si>
    <t>Kigamboni shop</t>
  </si>
  <si>
    <t>Kisutu Shop</t>
  </si>
  <si>
    <t>Agnes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</si>
</sst>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medium">
        <color indexed="64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ashed">
        <color auto="1"/>
      </right>
      <top style="medium">
        <color indexed="64"/>
      </top>
      <bottom style="dashed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8" xfId="0" applyBorder="1" applyAlignment="1">
      <alignment horizontal="center"/>
    </xf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0" fillId="0" borderId="23" xfId="0" applyBorder="1"/>
    <xf numFmtId="0" fontId="0" fillId="0" borderId="26" xfId="0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1" xfId="0" applyBorder="1"/>
    <xf numFmtId="0" fontId="1" fillId="0" borderId="3" xfId="0" applyFont="1" applyBorder="1"/>
    <xf numFmtId="0" fontId="1" fillId="0" borderId="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32" xfId="0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/>
    <xf numFmtId="0" fontId="0" fillId="0" borderId="0" xfId="0" applyBorder="1" applyAlignment="1">
      <alignment horizontal="right"/>
    </xf>
    <xf numFmtId="0" fontId="0" fillId="0" borderId="0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0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" fillId="0" borderId="35" xfId="0" applyFont="1" applyBorder="1"/>
    <xf numFmtId="0" fontId="1" fillId="0" borderId="36" xfId="0" applyFont="1" applyBorder="1"/>
    <xf numFmtId="0" fontId="1" fillId="0" borderId="36" xfId="0" applyFont="1" applyBorder="1" applyAlignment="1">
      <alignment horizontal="center"/>
    </xf>
    <xf numFmtId="0" fontId="1" fillId="0" borderId="37" xfId="0" applyFont="1" applyBorder="1"/>
    <xf numFmtId="14" fontId="0" fillId="0" borderId="26" xfId="0" applyNumberFormat="1" applyBorder="1"/>
    <xf numFmtId="165" fontId="0" fillId="0" borderId="26" xfId="1" applyNumberFormat="1" applyFont="1" applyBorder="1"/>
    <xf numFmtId="165" fontId="0" fillId="0" borderId="29" xfId="1" applyNumberFormat="1" applyFont="1" applyBorder="1" applyAlignment="1">
      <alignment horizontal="center"/>
    </xf>
    <xf numFmtId="165" fontId="0" fillId="0" borderId="30" xfId="1" applyNumberFormat="1" applyFont="1" applyBorder="1" applyAlignment="1">
      <alignment horizontal="center"/>
    </xf>
    <xf numFmtId="165" fontId="0" fillId="0" borderId="26" xfId="1" applyNumberFormat="1" applyFont="1" applyBorder="1" applyAlignment="1">
      <alignment horizontal="center"/>
    </xf>
    <xf numFmtId="165" fontId="0" fillId="0" borderId="23" xfId="1" applyNumberFormat="1" applyFont="1" applyBorder="1"/>
    <xf numFmtId="165" fontId="0" fillId="0" borderId="24" xfId="1" applyNumberFormat="1" applyFont="1" applyBorder="1" applyAlignment="1">
      <alignment horizontal="center"/>
    </xf>
    <xf numFmtId="165" fontId="0" fillId="0" borderId="25" xfId="1" applyNumberFormat="1" applyFont="1" applyBorder="1" applyAlignment="1">
      <alignment horizontal="center"/>
    </xf>
    <xf numFmtId="165" fontId="0" fillId="0" borderId="23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/>
    <xf numFmtId="165" fontId="1" fillId="0" borderId="4" xfId="1" applyNumberFormat="1" applyFont="1" applyBorder="1" applyAlignment="1">
      <alignment horizontal="center"/>
    </xf>
    <xf numFmtId="165" fontId="0" fillId="0" borderId="0" xfId="1" applyNumberFormat="1" applyFont="1"/>
    <xf numFmtId="165" fontId="0" fillId="0" borderId="32" xfId="1" applyNumberFormat="1" applyFont="1" applyBorder="1"/>
  </cellXfs>
  <cellStyles count="2">
    <cellStyle name="Comma" xfId="1" builtinId="3"/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14008</xdr:colOff>
      <xdr:row>2</xdr:row>
      <xdr:rowOff>169964</xdr:rowOff>
    </xdr:from>
    <xdr:to>
      <xdr:col>12</xdr:col>
      <xdr:colOff>367884</xdr:colOff>
      <xdr:row>6</xdr:row>
      <xdr:rowOff>114061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DA3F24-E527-A5AE-F2B1-50A82C46B4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51" t="21919" r="16396" b="17807"/>
        <a:stretch>
          <a:fillRect/>
        </a:stretch>
      </xdr:blipFill>
      <xdr:spPr bwMode="auto">
        <a:xfrm>
          <a:off x="7907151" y="576177"/>
          <a:ext cx="1089262" cy="700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350183</xdr:colOff>
      <xdr:row>2</xdr:row>
      <xdr:rowOff>153570</xdr:rowOff>
    </xdr:from>
    <xdr:to>
      <xdr:col>8</xdr:col>
      <xdr:colOff>663404</xdr:colOff>
      <xdr:row>5</xdr:row>
      <xdr:rowOff>133069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2DA759-F51B-40E5-9A6D-6DCB7B60AC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51" t="21919" r="16396" b="17807"/>
        <a:stretch>
          <a:fillRect/>
        </a:stretch>
      </xdr:blipFill>
      <xdr:spPr bwMode="auto">
        <a:xfrm>
          <a:off x="5743014" y="643827"/>
          <a:ext cx="1111640" cy="714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41353</xdr:colOff>
      <xdr:row>1</xdr:row>
      <xdr:rowOff>64909</xdr:rowOff>
    </xdr:from>
    <xdr:to>
      <xdr:col>16</xdr:col>
      <xdr:colOff>98051</xdr:colOff>
      <xdr:row>5</xdr:row>
      <xdr:rowOff>128670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AAC82E-A4E3-46E9-88D7-673624FF02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51" t="21919" r="16396" b="17807"/>
        <a:stretch>
          <a:fillRect/>
        </a:stretch>
      </xdr:blipFill>
      <xdr:spPr bwMode="auto">
        <a:xfrm>
          <a:off x="8830967" y="268016"/>
          <a:ext cx="1275338" cy="820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405545</xdr:colOff>
      <xdr:row>1</xdr:row>
      <xdr:rowOff>127942</xdr:rowOff>
    </xdr:from>
    <xdr:to>
      <xdr:col>9</xdr:col>
      <xdr:colOff>462243</xdr:colOff>
      <xdr:row>5</xdr:row>
      <xdr:rowOff>191703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DAB1B4-B8FB-4903-A274-D8C2BDD91D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51" t="21919" r="16396" b="17807"/>
        <a:stretch>
          <a:fillRect/>
        </a:stretch>
      </xdr:blipFill>
      <xdr:spPr bwMode="auto">
        <a:xfrm>
          <a:off x="4971942" y="331049"/>
          <a:ext cx="1275338" cy="820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41353</xdr:colOff>
      <xdr:row>1</xdr:row>
      <xdr:rowOff>64909</xdr:rowOff>
    </xdr:from>
    <xdr:to>
      <xdr:col>15</xdr:col>
      <xdr:colOff>532279</xdr:colOff>
      <xdr:row>5</xdr:row>
      <xdr:rowOff>128670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8D5016-A93D-4DC4-A7B4-A6EECEF6E4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51" t="21919" r="16396" b="17807"/>
        <a:stretch>
          <a:fillRect/>
        </a:stretch>
      </xdr:blipFill>
      <xdr:spPr bwMode="auto">
        <a:xfrm>
          <a:off x="9118678" y="264934"/>
          <a:ext cx="1275898" cy="825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9"/>
  <sheetViews>
    <sheetView view="pageBreakPreview" zoomScale="136" zoomScaleNormal="97" workbookViewId="0">
      <selection activeCell="E30" sqref="E30"/>
    </sheetView>
  </sheetViews>
  <sheetFormatPr defaultRowHeight="15" x14ac:dyDescent="0.25"/>
  <cols>
    <col min="2" max="2" width="8.28515625" bestFit="1" customWidth="1"/>
    <col min="3" max="4" width="11" bestFit="1" customWidth="1"/>
    <col min="5" max="5" width="11.85546875" customWidth="1"/>
    <col min="6" max="13" width="11" bestFit="1" customWidth="1"/>
  </cols>
  <sheetData>
    <row r="1" spans="2:15" ht="15.75" thickBot="1" x14ac:dyDescent="0.3"/>
    <row r="2" spans="2:15" ht="15.75" thickBot="1" x14ac:dyDescent="0.3">
      <c r="B2" s="46" t="s">
        <v>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8"/>
      <c r="N2" s="8"/>
      <c r="O2" s="8"/>
    </row>
    <row r="3" spans="2:15" x14ac:dyDescent="0.25">
      <c r="B3" s="49" t="s">
        <v>21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1"/>
      <c r="N3" s="8"/>
      <c r="O3" s="8"/>
    </row>
    <row r="4" spans="2:15" x14ac:dyDescent="0.25">
      <c r="B4" s="24"/>
      <c r="C4" s="6"/>
      <c r="D4" s="6"/>
      <c r="I4" s="59"/>
      <c r="J4" s="59"/>
      <c r="M4" s="2"/>
    </row>
    <row r="5" spans="2:15" x14ac:dyDescent="0.25">
      <c r="B5" s="24"/>
      <c r="C5" s="6"/>
      <c r="D5" s="6"/>
      <c r="I5" s="59"/>
      <c r="J5" s="59"/>
      <c r="M5" s="2"/>
    </row>
    <row r="6" spans="2:15" x14ac:dyDescent="0.25">
      <c r="B6" s="24"/>
      <c r="C6" s="6"/>
      <c r="D6" s="6"/>
      <c r="J6" s="6"/>
      <c r="M6" s="2"/>
    </row>
    <row r="7" spans="2:15" ht="15.75" thickBot="1" x14ac:dyDescent="0.3">
      <c r="B7" s="24"/>
      <c r="C7" s="6"/>
      <c r="D7" s="6"/>
      <c r="J7" s="6"/>
      <c r="M7" s="2"/>
    </row>
    <row r="8" spans="2:15" ht="15.75" thickBot="1" x14ac:dyDescent="0.3">
      <c r="B8" s="10" t="s">
        <v>42</v>
      </c>
      <c r="C8" s="11" t="s">
        <v>3</v>
      </c>
      <c r="D8" s="11" t="s">
        <v>3</v>
      </c>
      <c r="E8" s="11" t="s">
        <v>3</v>
      </c>
      <c r="F8" s="11" t="s">
        <v>3</v>
      </c>
      <c r="G8" s="11" t="s">
        <v>3</v>
      </c>
      <c r="H8" s="11" t="s">
        <v>3</v>
      </c>
      <c r="I8" s="11" t="s">
        <v>3</v>
      </c>
      <c r="J8" s="11" t="s">
        <v>3</v>
      </c>
      <c r="K8" s="11" t="s">
        <v>3</v>
      </c>
      <c r="L8" s="11" t="s">
        <v>3</v>
      </c>
      <c r="M8" s="12" t="s">
        <v>43</v>
      </c>
      <c r="N8" s="3"/>
      <c r="O8" s="3"/>
    </row>
    <row r="9" spans="2:15" x14ac:dyDescent="0.25">
      <c r="B9" s="16" t="s">
        <v>22</v>
      </c>
      <c r="C9" s="13"/>
      <c r="D9" s="13"/>
      <c r="E9" s="25"/>
      <c r="F9" s="13"/>
      <c r="G9" s="13"/>
      <c r="H9" s="13"/>
      <c r="I9" s="13"/>
      <c r="J9" s="13"/>
      <c r="K9" s="13"/>
      <c r="L9" s="13"/>
      <c r="M9" s="17"/>
    </row>
    <row r="10" spans="2:15" x14ac:dyDescent="0.25">
      <c r="B10" s="18" t="s">
        <v>23</v>
      </c>
      <c r="C10" s="14"/>
      <c r="D10" s="14"/>
      <c r="E10" s="23"/>
      <c r="F10" s="13"/>
      <c r="G10" s="13"/>
      <c r="H10" s="13"/>
      <c r="I10" s="13"/>
      <c r="J10" s="13"/>
      <c r="K10" s="13"/>
      <c r="L10" s="13"/>
      <c r="M10" s="17"/>
    </row>
    <row r="11" spans="2:15" x14ac:dyDescent="0.25">
      <c r="B11" s="18" t="s">
        <v>24</v>
      </c>
      <c r="C11" s="14"/>
      <c r="D11" s="14"/>
      <c r="E11" s="13"/>
      <c r="F11" s="13"/>
      <c r="G11" s="13"/>
      <c r="H11" s="13"/>
      <c r="I11" s="13"/>
      <c r="J11" s="13"/>
      <c r="K11" s="13"/>
      <c r="L11" s="13"/>
      <c r="M11" s="17"/>
    </row>
    <row r="12" spans="2:15" x14ac:dyDescent="0.25">
      <c r="B12" s="18" t="s">
        <v>25</v>
      </c>
      <c r="C12" s="14"/>
      <c r="D12" s="14"/>
      <c r="E12" s="13"/>
      <c r="F12" s="13"/>
      <c r="G12" s="13"/>
      <c r="H12" s="13"/>
      <c r="I12" s="13"/>
      <c r="J12" s="13"/>
      <c r="K12" s="13"/>
      <c r="L12" s="13"/>
      <c r="M12" s="17"/>
    </row>
    <row r="13" spans="2:15" x14ac:dyDescent="0.25">
      <c r="B13" s="18" t="s">
        <v>26</v>
      </c>
      <c r="C13" s="14"/>
      <c r="D13" s="14"/>
      <c r="E13" s="13"/>
      <c r="F13" s="13"/>
      <c r="G13" s="13"/>
      <c r="H13" s="13"/>
      <c r="I13" s="13"/>
      <c r="J13" s="13"/>
      <c r="K13" s="13"/>
      <c r="L13" s="13"/>
      <c r="M13" s="17"/>
    </row>
    <row r="14" spans="2:15" x14ac:dyDescent="0.25">
      <c r="B14" s="18" t="s">
        <v>27</v>
      </c>
      <c r="C14" s="14"/>
      <c r="D14" s="14"/>
      <c r="E14" s="13"/>
      <c r="F14" s="13"/>
      <c r="G14" s="13"/>
      <c r="H14" s="13"/>
      <c r="I14" s="13"/>
      <c r="J14" s="13"/>
      <c r="K14" s="13"/>
      <c r="L14" s="13"/>
      <c r="M14" s="17"/>
    </row>
    <row r="15" spans="2:15" x14ac:dyDescent="0.25">
      <c r="B15" s="18" t="s">
        <v>28</v>
      </c>
      <c r="C15" s="14"/>
      <c r="D15" s="14"/>
      <c r="E15" s="13"/>
      <c r="F15" s="13"/>
      <c r="G15" s="13"/>
      <c r="H15" s="13"/>
      <c r="I15" s="13"/>
      <c r="J15" s="13"/>
      <c r="K15" s="13"/>
      <c r="L15" s="13"/>
      <c r="M15" s="17"/>
    </row>
    <row r="16" spans="2:15" x14ac:dyDescent="0.25">
      <c r="B16" s="18" t="s">
        <v>29</v>
      </c>
      <c r="C16" s="14"/>
      <c r="D16" s="14"/>
      <c r="E16" s="13"/>
      <c r="F16" s="13"/>
      <c r="G16" s="13"/>
      <c r="H16" s="13"/>
      <c r="I16" s="13"/>
      <c r="J16" s="13"/>
      <c r="K16" s="13"/>
      <c r="L16" s="13"/>
      <c r="M16" s="17"/>
    </row>
    <row r="17" spans="2:13" x14ac:dyDescent="0.25">
      <c r="B17" s="18" t="s">
        <v>30</v>
      </c>
      <c r="C17" s="14"/>
      <c r="D17" s="14"/>
      <c r="E17" s="13"/>
      <c r="F17" s="13"/>
      <c r="G17" s="13"/>
      <c r="H17" s="13"/>
      <c r="I17" s="13"/>
      <c r="J17" s="13"/>
      <c r="K17" s="13"/>
      <c r="L17" s="13"/>
      <c r="M17" s="17"/>
    </row>
    <row r="18" spans="2:13" x14ac:dyDescent="0.25">
      <c r="B18" s="18" t="s">
        <v>31</v>
      </c>
      <c r="C18" s="14"/>
      <c r="D18" s="14"/>
      <c r="E18" s="13"/>
      <c r="F18" s="13"/>
      <c r="G18" s="13"/>
      <c r="H18" s="13"/>
      <c r="I18" s="13"/>
      <c r="J18" s="13"/>
      <c r="K18" s="13"/>
      <c r="L18" s="13"/>
      <c r="M18" s="17"/>
    </row>
    <row r="19" spans="2:13" x14ac:dyDescent="0.25">
      <c r="B19" s="18" t="s">
        <v>32</v>
      </c>
      <c r="C19" s="14"/>
      <c r="D19" s="14"/>
      <c r="E19" s="13"/>
      <c r="F19" s="13"/>
      <c r="G19" s="13"/>
      <c r="H19" s="13"/>
      <c r="I19" s="13"/>
      <c r="J19" s="13"/>
      <c r="K19" s="13"/>
      <c r="L19" s="13"/>
      <c r="M19" s="17"/>
    </row>
    <row r="20" spans="2:13" x14ac:dyDescent="0.25">
      <c r="B20" s="18" t="s">
        <v>33</v>
      </c>
      <c r="C20" s="14"/>
      <c r="D20" s="14"/>
      <c r="E20" s="13"/>
      <c r="F20" s="13"/>
      <c r="G20" s="13"/>
      <c r="H20" s="13"/>
      <c r="I20" s="13"/>
      <c r="J20" s="13"/>
      <c r="K20" s="13"/>
      <c r="L20" s="13"/>
      <c r="M20" s="17"/>
    </row>
    <row r="21" spans="2:13" x14ac:dyDescent="0.25">
      <c r="B21" s="18" t="s">
        <v>34</v>
      </c>
      <c r="C21" s="14"/>
      <c r="D21" s="14"/>
      <c r="E21" s="13"/>
      <c r="F21" s="13"/>
      <c r="G21" s="13"/>
      <c r="H21" s="13"/>
      <c r="I21" s="13"/>
      <c r="J21" s="13"/>
      <c r="K21" s="13"/>
      <c r="L21" s="13"/>
      <c r="M21" s="17"/>
    </row>
    <row r="22" spans="2:13" x14ac:dyDescent="0.25">
      <c r="B22" s="18" t="s">
        <v>35</v>
      </c>
      <c r="C22" s="14"/>
      <c r="D22" s="14"/>
      <c r="E22" s="13"/>
      <c r="F22" s="13"/>
      <c r="G22" s="13"/>
      <c r="H22" s="13"/>
      <c r="I22" s="13"/>
      <c r="J22" s="13"/>
      <c r="K22" s="13"/>
      <c r="L22" s="13"/>
      <c r="M22" s="17"/>
    </row>
    <row r="23" spans="2:13" x14ac:dyDescent="0.25">
      <c r="B23" s="18" t="s">
        <v>36</v>
      </c>
      <c r="C23" s="14"/>
      <c r="D23" s="14"/>
      <c r="E23" s="13"/>
      <c r="F23" s="13"/>
      <c r="G23" s="13"/>
      <c r="H23" s="13"/>
      <c r="I23" s="13"/>
      <c r="J23" s="13"/>
      <c r="K23" s="13"/>
      <c r="L23" s="13"/>
      <c r="M23" s="17"/>
    </row>
    <row r="24" spans="2:13" x14ac:dyDescent="0.25">
      <c r="B24" s="18" t="s">
        <v>37</v>
      </c>
      <c r="C24" s="14"/>
      <c r="D24" s="14"/>
      <c r="E24" s="13"/>
      <c r="F24" s="13"/>
      <c r="G24" s="13"/>
      <c r="H24" s="13"/>
      <c r="I24" s="13"/>
      <c r="J24" s="13"/>
      <c r="K24" s="13"/>
      <c r="L24" s="13"/>
      <c r="M24" s="17"/>
    </row>
    <row r="25" spans="2:13" x14ac:dyDescent="0.25">
      <c r="B25" s="18" t="s">
        <v>38</v>
      </c>
      <c r="C25" s="14"/>
      <c r="D25" s="14"/>
      <c r="E25" s="13"/>
      <c r="F25" s="13"/>
      <c r="G25" s="13"/>
      <c r="H25" s="13"/>
      <c r="I25" s="13"/>
      <c r="J25" s="13"/>
      <c r="K25" s="13"/>
      <c r="L25" s="13"/>
      <c r="M25" s="17"/>
    </row>
    <row r="26" spans="2:13" x14ac:dyDescent="0.25">
      <c r="B26" s="18" t="s">
        <v>39</v>
      </c>
      <c r="C26" s="14"/>
      <c r="D26" s="14"/>
      <c r="E26" s="13"/>
      <c r="F26" s="13"/>
      <c r="G26" s="13"/>
      <c r="H26" s="13"/>
      <c r="I26" s="13"/>
      <c r="J26" s="13"/>
      <c r="K26" s="13"/>
      <c r="L26" s="13"/>
      <c r="M26" s="17"/>
    </row>
    <row r="27" spans="2:13" x14ac:dyDescent="0.25">
      <c r="B27" s="18" t="s">
        <v>40</v>
      </c>
      <c r="C27" s="14"/>
      <c r="D27" s="14"/>
      <c r="E27" s="13"/>
      <c r="F27" s="13"/>
      <c r="G27" s="13"/>
      <c r="H27" s="13"/>
      <c r="I27" s="13"/>
      <c r="J27" s="13"/>
      <c r="K27" s="13"/>
      <c r="L27" s="13"/>
      <c r="M27" s="17"/>
    </row>
    <row r="28" spans="2:13" ht="15.75" thickBot="1" x14ac:dyDescent="0.3">
      <c r="B28" s="18" t="s">
        <v>41</v>
      </c>
      <c r="C28" s="15"/>
      <c r="D28" s="15"/>
      <c r="E28" s="13"/>
      <c r="F28" s="13"/>
      <c r="G28" s="13"/>
      <c r="H28" s="13"/>
      <c r="I28" s="13"/>
      <c r="J28" s="13"/>
      <c r="K28" s="13"/>
      <c r="L28" s="13"/>
      <c r="M28" s="17"/>
    </row>
    <row r="29" spans="2:13" ht="15.75" thickBot="1" x14ac:dyDescent="0.3">
      <c r="B29" s="19"/>
      <c r="C29" s="20"/>
      <c r="D29" s="20"/>
      <c r="E29" s="21"/>
      <c r="F29" s="21"/>
      <c r="G29" s="20"/>
      <c r="H29" s="20"/>
      <c r="I29" s="20"/>
      <c r="J29" s="64"/>
      <c r="K29" s="64"/>
      <c r="L29" s="64"/>
      <c r="M29" s="22"/>
    </row>
    <row r="30" spans="2:13" x14ac:dyDescent="0.25">
      <c r="B30" s="1"/>
      <c r="D30" s="9" t="s">
        <v>10</v>
      </c>
      <c r="I30" s="9" t="s">
        <v>11</v>
      </c>
      <c r="M30" s="2"/>
    </row>
    <row r="31" spans="2:13" x14ac:dyDescent="0.25">
      <c r="B31" s="1"/>
      <c r="C31" s="7"/>
      <c r="D31" s="6" t="s">
        <v>5</v>
      </c>
      <c r="I31" s="6" t="s">
        <v>12</v>
      </c>
      <c r="J31" s="7"/>
      <c r="K31" s="7"/>
      <c r="L31" s="7"/>
      <c r="M31" s="2"/>
    </row>
    <row r="32" spans="2:13" x14ac:dyDescent="0.25">
      <c r="B32" s="1"/>
      <c r="C32" s="7"/>
      <c r="D32" s="6" t="s">
        <v>4</v>
      </c>
      <c r="I32" s="6" t="s">
        <v>13</v>
      </c>
      <c r="J32" s="7"/>
      <c r="K32" s="7"/>
      <c r="L32" s="7"/>
      <c r="M32" s="2"/>
    </row>
    <row r="33" spans="2:13" x14ac:dyDescent="0.25">
      <c r="B33" s="1"/>
      <c r="C33" s="7"/>
      <c r="D33" s="6" t="s">
        <v>8</v>
      </c>
      <c r="I33" s="6" t="s">
        <v>14</v>
      </c>
      <c r="J33" s="7"/>
      <c r="K33" s="7"/>
      <c r="L33" s="7"/>
      <c r="M33" s="2"/>
    </row>
    <row r="34" spans="2:13" x14ac:dyDescent="0.25">
      <c r="B34" s="1"/>
      <c r="C34" s="7"/>
      <c r="D34" s="6" t="s">
        <v>9</v>
      </c>
      <c r="I34" s="6" t="s">
        <v>15</v>
      </c>
      <c r="J34" s="7"/>
      <c r="K34" s="7"/>
      <c r="L34" s="7"/>
      <c r="M34" s="2"/>
    </row>
    <row r="35" spans="2:13" ht="15.75" thickBot="1" x14ac:dyDescent="0.3">
      <c r="B35" s="1"/>
      <c r="M35" s="2"/>
    </row>
    <row r="36" spans="2:13" s="3" customFormat="1" ht="15.75" thickBot="1" x14ac:dyDescent="0.3">
      <c r="B36" s="10"/>
      <c r="C36" s="11"/>
      <c r="D36" s="47" t="s">
        <v>6</v>
      </c>
      <c r="E36" s="47"/>
      <c r="F36" s="11" t="s">
        <v>17</v>
      </c>
      <c r="G36" s="11" t="s">
        <v>18</v>
      </c>
      <c r="H36" s="11"/>
      <c r="I36" s="11"/>
      <c r="J36" s="47" t="s">
        <v>6</v>
      </c>
      <c r="K36" s="47"/>
      <c r="L36" s="11" t="s">
        <v>17</v>
      </c>
      <c r="M36" s="12" t="s">
        <v>18</v>
      </c>
    </row>
    <row r="37" spans="2:13" x14ac:dyDescent="0.25">
      <c r="B37" s="58" t="s">
        <v>16</v>
      </c>
      <c r="C37" s="59"/>
      <c r="H37" t="s">
        <v>19</v>
      </c>
      <c r="I37" s="6"/>
      <c r="J37" s="6"/>
      <c r="M37" s="2"/>
    </row>
    <row r="38" spans="2:13" ht="15.75" thickBot="1" x14ac:dyDescent="0.3">
      <c r="B38" s="65" t="s">
        <v>7</v>
      </c>
      <c r="C38" s="66"/>
      <c r="D38" s="4"/>
      <c r="E38" s="4"/>
      <c r="F38" s="4"/>
      <c r="G38" s="4"/>
      <c r="H38" s="4" t="s">
        <v>20</v>
      </c>
      <c r="I38" s="66"/>
      <c r="J38" s="66"/>
      <c r="K38" s="4"/>
      <c r="L38" s="4"/>
      <c r="M38" s="5"/>
    </row>
    <row r="39" spans="2:13" ht="15.75" thickBot="1" x14ac:dyDescent="0.3">
      <c r="B39" s="26"/>
      <c r="C39" s="4"/>
      <c r="D39" s="4"/>
      <c r="E39" s="4"/>
      <c r="F39" s="4"/>
      <c r="G39" s="4"/>
      <c r="H39" s="4"/>
      <c r="I39" s="4"/>
      <c r="J39" s="4"/>
      <c r="K39" s="4"/>
      <c r="L39" s="4"/>
      <c r="M39" s="5"/>
    </row>
  </sheetData>
  <mergeCells count="10">
    <mergeCell ref="B3:M3"/>
    <mergeCell ref="J29:L29"/>
    <mergeCell ref="B2:M2"/>
    <mergeCell ref="B37:C37"/>
    <mergeCell ref="B38:C38"/>
    <mergeCell ref="I38:J38"/>
    <mergeCell ref="I4:J4"/>
    <mergeCell ref="I5:J5"/>
    <mergeCell ref="D36:E36"/>
    <mergeCell ref="J36:K36"/>
  </mergeCells>
  <pageMargins left="0.7" right="0.28000000000000003" top="0.31" bottom="0.75" header="0.3" footer="0.3"/>
  <pageSetup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75B0-2125-4686-80BE-C5ED60462D61}">
  <dimension ref="A1:I44"/>
  <sheetViews>
    <sheetView view="pageBreakPreview" zoomScale="136" zoomScaleNormal="97" workbookViewId="0">
      <selection activeCell="B8" sqref="B8:I9"/>
    </sheetView>
  </sheetViews>
  <sheetFormatPr defaultRowHeight="20.100000000000001" customHeight="1" x14ac:dyDescent="0.25"/>
  <cols>
    <col min="1" max="1" width="5.7109375" bestFit="1" customWidth="1"/>
    <col min="2" max="2" width="25.28515625" customWidth="1"/>
    <col min="3" max="3" width="5.7109375" bestFit="1" customWidth="1"/>
    <col min="4" max="4" width="8.7109375" bestFit="1" customWidth="1"/>
    <col min="5" max="5" width="9.5703125" customWidth="1"/>
    <col min="6" max="6" width="12.85546875" customWidth="1"/>
    <col min="7" max="7" width="13.140625" customWidth="1"/>
    <col min="8" max="8" width="12" bestFit="1" customWidth="1"/>
    <col min="9" max="9" width="15.42578125" bestFit="1" customWidth="1"/>
  </cols>
  <sheetData>
    <row r="1" spans="1:9" ht="20.100000000000001" customHeight="1" thickBot="1" x14ac:dyDescent="0.3">
      <c r="A1" s="46" t="s">
        <v>1</v>
      </c>
      <c r="B1" s="47"/>
      <c r="C1" s="47"/>
      <c r="D1" s="47"/>
      <c r="E1" s="47"/>
      <c r="F1" s="47"/>
      <c r="G1" s="47"/>
      <c r="H1" s="47"/>
      <c r="I1" s="48"/>
    </row>
    <row r="2" spans="1:9" ht="20.100000000000001" customHeight="1" x14ac:dyDescent="0.25">
      <c r="A2" s="49" t="s">
        <v>65</v>
      </c>
      <c r="B2" s="50"/>
      <c r="C2" s="50"/>
      <c r="D2" s="50"/>
      <c r="E2" s="50"/>
      <c r="F2" s="50"/>
      <c r="G2" s="50"/>
      <c r="H2" s="50"/>
      <c r="I2" s="51"/>
    </row>
    <row r="3" spans="1:9" ht="20.100000000000001" customHeight="1" x14ac:dyDescent="0.25">
      <c r="A3" s="67" t="s">
        <v>54</v>
      </c>
      <c r="B3" s="69"/>
      <c r="C3" s="69"/>
      <c r="D3" s="69"/>
      <c r="E3" s="69"/>
      <c r="F3" s="72"/>
      <c r="G3" s="68"/>
      <c r="H3" s="68"/>
      <c r="I3" s="73"/>
    </row>
    <row r="4" spans="1:9" ht="20.100000000000001" customHeight="1" x14ac:dyDescent="0.25">
      <c r="A4" s="67" t="s">
        <v>66</v>
      </c>
      <c r="B4" s="69"/>
      <c r="C4" s="69"/>
      <c r="D4" s="69"/>
      <c r="E4" s="69"/>
      <c r="F4" s="72"/>
      <c r="G4" s="68"/>
      <c r="H4" s="68"/>
      <c r="I4" s="73"/>
    </row>
    <row r="5" spans="1:9" ht="20.100000000000001" customHeight="1" x14ac:dyDescent="0.25">
      <c r="A5" s="67" t="s">
        <v>68</v>
      </c>
      <c r="B5" s="69"/>
      <c r="C5" s="69"/>
      <c r="D5" s="69"/>
      <c r="E5" s="69"/>
      <c r="F5" s="72"/>
      <c r="G5" s="72"/>
      <c r="H5" s="72"/>
      <c r="I5" s="74"/>
    </row>
    <row r="6" spans="1:9" ht="20.100000000000001" customHeight="1" thickBot="1" x14ac:dyDescent="0.3">
      <c r="A6" s="70" t="s">
        <v>69</v>
      </c>
      <c r="B6" s="71"/>
      <c r="C6" s="69"/>
      <c r="D6" s="69"/>
      <c r="E6" s="69"/>
      <c r="F6" s="72"/>
      <c r="G6" s="72"/>
      <c r="H6" s="72"/>
      <c r="I6" s="74"/>
    </row>
    <row r="7" spans="1:9" ht="20.100000000000001" customHeight="1" thickBot="1" x14ac:dyDescent="0.3">
      <c r="A7" s="36" t="s">
        <v>2</v>
      </c>
      <c r="B7" s="36" t="s">
        <v>67</v>
      </c>
      <c r="C7" s="35" t="s">
        <v>70</v>
      </c>
      <c r="D7" s="36" t="s">
        <v>75</v>
      </c>
      <c r="E7" s="35" t="s">
        <v>74</v>
      </c>
      <c r="F7" s="35" t="s">
        <v>71</v>
      </c>
      <c r="G7" s="38" t="s">
        <v>72</v>
      </c>
      <c r="H7" s="38" t="s">
        <v>76</v>
      </c>
      <c r="I7" s="39" t="s">
        <v>73</v>
      </c>
    </row>
    <row r="8" spans="1:9" ht="20.100000000000001" customHeight="1" x14ac:dyDescent="0.25">
      <c r="A8" s="31">
        <v>1</v>
      </c>
      <c r="B8" s="30"/>
      <c r="C8" s="30"/>
      <c r="D8" s="30"/>
      <c r="E8" s="30"/>
      <c r="F8" s="30"/>
      <c r="G8" s="30"/>
      <c r="H8" s="30"/>
      <c r="I8" s="75"/>
    </row>
    <row r="9" spans="1:9" ht="20.100000000000001" customHeight="1" x14ac:dyDescent="0.25">
      <c r="A9" s="32">
        <f t="shared" ref="A9:A42" si="0">+A8+1</f>
        <v>2</v>
      </c>
      <c r="B9" s="29"/>
      <c r="C9" s="29"/>
      <c r="D9" s="29"/>
      <c r="E9" s="29"/>
      <c r="F9" s="29"/>
      <c r="G9" s="29"/>
      <c r="H9" s="29"/>
      <c r="I9" s="76"/>
    </row>
    <row r="10" spans="1:9" ht="20.100000000000001" customHeight="1" x14ac:dyDescent="0.25">
      <c r="A10" s="32">
        <f t="shared" si="0"/>
        <v>3</v>
      </c>
      <c r="B10" s="29"/>
      <c r="C10" s="29"/>
      <c r="D10" s="29"/>
      <c r="E10" s="29"/>
      <c r="F10" s="29"/>
      <c r="G10" s="29"/>
      <c r="H10" s="29"/>
      <c r="I10" s="76"/>
    </row>
    <row r="11" spans="1:9" ht="20.100000000000001" customHeight="1" x14ac:dyDescent="0.25">
      <c r="A11" s="32">
        <f t="shared" si="0"/>
        <v>4</v>
      </c>
      <c r="B11" s="29"/>
      <c r="C11" s="29"/>
      <c r="D11" s="29"/>
      <c r="E11" s="29"/>
      <c r="F11" s="29"/>
      <c r="G11" s="29"/>
      <c r="H11" s="29"/>
      <c r="I11" s="76"/>
    </row>
    <row r="12" spans="1:9" ht="20.100000000000001" customHeight="1" x14ac:dyDescent="0.25">
      <c r="A12" s="32">
        <f t="shared" si="0"/>
        <v>5</v>
      </c>
      <c r="B12" s="29"/>
      <c r="C12" s="29"/>
      <c r="D12" s="29"/>
      <c r="E12" s="29"/>
      <c r="F12" s="29"/>
      <c r="G12" s="29"/>
      <c r="H12" s="29"/>
      <c r="I12" s="76"/>
    </row>
    <row r="13" spans="1:9" ht="20.100000000000001" customHeight="1" x14ac:dyDescent="0.25">
      <c r="A13" s="32">
        <f t="shared" si="0"/>
        <v>6</v>
      </c>
      <c r="B13" s="29"/>
      <c r="C13" s="29"/>
      <c r="D13" s="29"/>
      <c r="E13" s="29"/>
      <c r="F13" s="29"/>
      <c r="G13" s="29"/>
      <c r="H13" s="29"/>
      <c r="I13" s="76"/>
    </row>
    <row r="14" spans="1:9" ht="20.100000000000001" customHeight="1" x14ac:dyDescent="0.25">
      <c r="A14" s="32">
        <f t="shared" si="0"/>
        <v>7</v>
      </c>
      <c r="B14" s="29"/>
      <c r="C14" s="29"/>
      <c r="D14" s="29"/>
      <c r="E14" s="29"/>
      <c r="F14" s="29"/>
      <c r="G14" s="29"/>
      <c r="H14" s="29"/>
      <c r="I14" s="76"/>
    </row>
    <row r="15" spans="1:9" ht="20.100000000000001" customHeight="1" x14ac:dyDescent="0.25">
      <c r="A15" s="32">
        <f t="shared" si="0"/>
        <v>8</v>
      </c>
      <c r="B15" s="29"/>
      <c r="C15" s="29"/>
      <c r="D15" s="29"/>
      <c r="E15" s="29"/>
      <c r="F15" s="29"/>
      <c r="G15" s="29"/>
      <c r="H15" s="29"/>
      <c r="I15" s="76"/>
    </row>
    <row r="16" spans="1:9" ht="20.100000000000001" customHeight="1" x14ac:dyDescent="0.25">
      <c r="A16" s="32">
        <f t="shared" si="0"/>
        <v>9</v>
      </c>
      <c r="B16" s="29"/>
      <c r="C16" s="29"/>
      <c r="D16" s="29"/>
      <c r="E16" s="29"/>
      <c r="F16" s="29"/>
      <c r="G16" s="29"/>
      <c r="H16" s="29"/>
      <c r="I16" s="76"/>
    </row>
    <row r="17" spans="1:9" ht="20.100000000000001" customHeight="1" x14ac:dyDescent="0.25">
      <c r="A17" s="32">
        <f t="shared" si="0"/>
        <v>10</v>
      </c>
      <c r="B17" s="29"/>
      <c r="C17" s="29"/>
      <c r="D17" s="29"/>
      <c r="E17" s="29"/>
      <c r="F17" s="29"/>
      <c r="G17" s="29"/>
      <c r="H17" s="29"/>
      <c r="I17" s="76"/>
    </row>
    <row r="18" spans="1:9" ht="20.100000000000001" customHeight="1" x14ac:dyDescent="0.25">
      <c r="A18" s="32">
        <f t="shared" si="0"/>
        <v>11</v>
      </c>
      <c r="B18" s="29"/>
      <c r="C18" s="29"/>
      <c r="D18" s="29"/>
      <c r="E18" s="29"/>
      <c r="F18" s="29"/>
      <c r="G18" s="29"/>
      <c r="H18" s="29"/>
      <c r="I18" s="76"/>
    </row>
    <row r="19" spans="1:9" ht="20.100000000000001" customHeight="1" x14ac:dyDescent="0.25">
      <c r="A19" s="32">
        <f t="shared" si="0"/>
        <v>12</v>
      </c>
      <c r="B19" s="29"/>
      <c r="C19" s="29"/>
      <c r="D19" s="29"/>
      <c r="E19" s="29"/>
      <c r="F19" s="29"/>
      <c r="G19" s="29"/>
      <c r="H19" s="29"/>
      <c r="I19" s="76"/>
    </row>
    <row r="20" spans="1:9" ht="20.100000000000001" customHeight="1" x14ac:dyDescent="0.25">
      <c r="A20" s="32">
        <f t="shared" si="0"/>
        <v>13</v>
      </c>
      <c r="B20" s="29"/>
      <c r="C20" s="29"/>
      <c r="D20" s="29"/>
      <c r="E20" s="29"/>
      <c r="F20" s="29"/>
      <c r="G20" s="29"/>
      <c r="H20" s="29"/>
      <c r="I20" s="76"/>
    </row>
    <row r="21" spans="1:9" ht="20.100000000000001" customHeight="1" x14ac:dyDescent="0.25">
      <c r="A21" s="32">
        <f t="shared" si="0"/>
        <v>14</v>
      </c>
      <c r="B21" s="29"/>
      <c r="C21" s="29"/>
      <c r="D21" s="29"/>
      <c r="E21" s="29"/>
      <c r="F21" s="29"/>
      <c r="G21" s="29"/>
      <c r="H21" s="29"/>
      <c r="I21" s="76"/>
    </row>
    <row r="22" spans="1:9" ht="20.100000000000001" customHeight="1" x14ac:dyDescent="0.25">
      <c r="A22" s="32">
        <f t="shared" si="0"/>
        <v>15</v>
      </c>
      <c r="B22" s="29"/>
      <c r="C22" s="29"/>
      <c r="D22" s="29"/>
      <c r="E22" s="29"/>
      <c r="F22" s="29"/>
      <c r="G22" s="29"/>
      <c r="H22" s="29"/>
      <c r="I22" s="76"/>
    </row>
    <row r="23" spans="1:9" ht="20.100000000000001" customHeight="1" x14ac:dyDescent="0.25">
      <c r="A23" s="32">
        <f t="shared" si="0"/>
        <v>16</v>
      </c>
      <c r="B23" s="29"/>
      <c r="C23" s="29"/>
      <c r="D23" s="29"/>
      <c r="E23" s="29"/>
      <c r="F23" s="29"/>
      <c r="G23" s="29"/>
      <c r="H23" s="29"/>
      <c r="I23" s="76"/>
    </row>
    <row r="24" spans="1:9" ht="20.100000000000001" customHeight="1" x14ac:dyDescent="0.25">
      <c r="A24" s="32">
        <f t="shared" si="0"/>
        <v>17</v>
      </c>
      <c r="B24" s="29"/>
      <c r="C24" s="29"/>
      <c r="D24" s="29"/>
      <c r="E24" s="29"/>
      <c r="F24" s="29"/>
      <c r="G24" s="29"/>
      <c r="H24" s="29"/>
      <c r="I24" s="76"/>
    </row>
    <row r="25" spans="1:9" ht="20.100000000000001" customHeight="1" x14ac:dyDescent="0.25">
      <c r="A25" s="32">
        <f t="shared" si="0"/>
        <v>18</v>
      </c>
      <c r="B25" s="29"/>
      <c r="C25" s="29"/>
      <c r="D25" s="29"/>
      <c r="E25" s="29"/>
      <c r="F25" s="29"/>
      <c r="G25" s="29"/>
      <c r="H25" s="29"/>
      <c r="I25" s="76"/>
    </row>
    <row r="26" spans="1:9" ht="20.100000000000001" customHeight="1" x14ac:dyDescent="0.25">
      <c r="A26" s="32">
        <f t="shared" si="0"/>
        <v>19</v>
      </c>
      <c r="B26" s="29"/>
      <c r="C26" s="29"/>
      <c r="D26" s="29"/>
      <c r="E26" s="29"/>
      <c r="F26" s="29"/>
      <c r="G26" s="29"/>
      <c r="H26" s="29"/>
      <c r="I26" s="76"/>
    </row>
    <row r="27" spans="1:9" ht="20.100000000000001" customHeight="1" x14ac:dyDescent="0.25">
      <c r="A27" s="32">
        <f t="shared" si="0"/>
        <v>20</v>
      </c>
      <c r="B27" s="29"/>
      <c r="C27" s="29"/>
      <c r="D27" s="29"/>
      <c r="E27" s="29"/>
      <c r="F27" s="29"/>
      <c r="G27" s="29"/>
      <c r="H27" s="29"/>
      <c r="I27" s="76"/>
    </row>
    <row r="28" spans="1:9" ht="20.100000000000001" customHeight="1" x14ac:dyDescent="0.25">
      <c r="A28" s="32">
        <f t="shared" si="0"/>
        <v>21</v>
      </c>
      <c r="B28" s="29"/>
      <c r="C28" s="29"/>
      <c r="D28" s="29"/>
      <c r="E28" s="29"/>
      <c r="F28" s="29"/>
      <c r="G28" s="29"/>
      <c r="H28" s="29"/>
      <c r="I28" s="76"/>
    </row>
    <row r="29" spans="1:9" ht="20.100000000000001" customHeight="1" x14ac:dyDescent="0.25">
      <c r="A29" s="32">
        <f t="shared" si="0"/>
        <v>22</v>
      </c>
      <c r="B29" s="29"/>
      <c r="C29" s="29"/>
      <c r="D29" s="29"/>
      <c r="E29" s="29"/>
      <c r="F29" s="29"/>
      <c r="G29" s="29"/>
      <c r="H29" s="29"/>
      <c r="I29" s="76"/>
    </row>
    <row r="30" spans="1:9" ht="20.100000000000001" customHeight="1" x14ac:dyDescent="0.25">
      <c r="A30" s="32">
        <f t="shared" si="0"/>
        <v>23</v>
      </c>
      <c r="B30" s="29"/>
      <c r="C30" s="29"/>
      <c r="D30" s="29"/>
      <c r="E30" s="29"/>
      <c r="F30" s="29"/>
      <c r="G30" s="29"/>
      <c r="H30" s="29"/>
      <c r="I30" s="76"/>
    </row>
    <row r="31" spans="1:9" ht="20.100000000000001" customHeight="1" x14ac:dyDescent="0.25">
      <c r="A31" s="32">
        <f t="shared" si="0"/>
        <v>24</v>
      </c>
      <c r="B31" s="29"/>
      <c r="C31" s="29"/>
      <c r="D31" s="29"/>
      <c r="E31" s="29"/>
      <c r="F31" s="29"/>
      <c r="G31" s="29"/>
      <c r="H31" s="29"/>
      <c r="I31" s="76"/>
    </row>
    <row r="32" spans="1:9" ht="20.100000000000001" customHeight="1" x14ac:dyDescent="0.25">
      <c r="A32" s="32">
        <f t="shared" si="0"/>
        <v>25</v>
      </c>
      <c r="B32" s="29"/>
      <c r="C32" s="29"/>
      <c r="D32" s="29"/>
      <c r="E32" s="29"/>
      <c r="F32" s="29"/>
      <c r="G32" s="29"/>
      <c r="H32" s="29"/>
      <c r="I32" s="76"/>
    </row>
    <row r="33" spans="1:9" ht="20.100000000000001" customHeight="1" x14ac:dyDescent="0.25">
      <c r="A33" s="32">
        <f t="shared" si="0"/>
        <v>26</v>
      </c>
      <c r="B33" s="29"/>
      <c r="C33" s="29"/>
      <c r="D33" s="29"/>
      <c r="E33" s="29"/>
      <c r="F33" s="29"/>
      <c r="G33" s="29"/>
      <c r="H33" s="29"/>
      <c r="I33" s="76"/>
    </row>
    <row r="34" spans="1:9" ht="20.100000000000001" customHeight="1" x14ac:dyDescent="0.25">
      <c r="A34" s="32">
        <f t="shared" si="0"/>
        <v>27</v>
      </c>
      <c r="B34" s="29"/>
      <c r="C34" s="29"/>
      <c r="D34" s="29"/>
      <c r="E34" s="29"/>
      <c r="F34" s="29"/>
      <c r="G34" s="29"/>
      <c r="H34" s="29"/>
      <c r="I34" s="76"/>
    </row>
    <row r="35" spans="1:9" ht="20.100000000000001" customHeight="1" x14ac:dyDescent="0.25">
      <c r="A35" s="32">
        <f t="shared" si="0"/>
        <v>28</v>
      </c>
      <c r="B35" s="29"/>
      <c r="C35" s="29"/>
      <c r="D35" s="29"/>
      <c r="E35" s="29"/>
      <c r="F35" s="29"/>
      <c r="G35" s="29"/>
      <c r="H35" s="29"/>
      <c r="I35" s="76"/>
    </row>
    <row r="36" spans="1:9" ht="20.100000000000001" customHeight="1" x14ac:dyDescent="0.25">
      <c r="A36" s="32">
        <f t="shared" si="0"/>
        <v>29</v>
      </c>
      <c r="B36" s="29"/>
      <c r="C36" s="29"/>
      <c r="D36" s="29"/>
      <c r="E36" s="29"/>
      <c r="F36" s="29"/>
      <c r="G36" s="29"/>
      <c r="H36" s="29"/>
      <c r="I36" s="76"/>
    </row>
    <row r="37" spans="1:9" ht="20.100000000000001" customHeight="1" x14ac:dyDescent="0.25">
      <c r="A37" s="32">
        <f t="shared" si="0"/>
        <v>30</v>
      </c>
      <c r="B37" s="29"/>
      <c r="C37" s="29"/>
      <c r="D37" s="29"/>
      <c r="E37" s="29"/>
      <c r="F37" s="29"/>
      <c r="G37" s="29"/>
      <c r="H37" s="29"/>
      <c r="I37" s="76"/>
    </row>
    <row r="38" spans="1:9" ht="20.100000000000001" customHeight="1" x14ac:dyDescent="0.25">
      <c r="A38" s="77">
        <f t="shared" si="0"/>
        <v>31</v>
      </c>
      <c r="B38" s="29"/>
      <c r="C38" s="29"/>
      <c r="D38" s="29"/>
      <c r="E38" s="29"/>
      <c r="F38" s="29"/>
      <c r="G38" s="29"/>
      <c r="H38" s="29"/>
      <c r="I38" s="76"/>
    </row>
    <row r="39" spans="1:9" ht="20.100000000000001" customHeight="1" x14ac:dyDescent="0.25">
      <c r="A39" s="77">
        <f t="shared" si="0"/>
        <v>32</v>
      </c>
      <c r="B39" s="29"/>
      <c r="C39" s="29"/>
      <c r="D39" s="29"/>
      <c r="E39" s="29"/>
      <c r="F39" s="29"/>
      <c r="G39" s="29"/>
      <c r="H39" s="29"/>
      <c r="I39" s="76"/>
    </row>
    <row r="40" spans="1:9" ht="20.100000000000001" customHeight="1" x14ac:dyDescent="0.25">
      <c r="A40" s="77">
        <f t="shared" si="0"/>
        <v>33</v>
      </c>
      <c r="B40" s="29"/>
      <c r="C40" s="29"/>
      <c r="D40" s="29"/>
      <c r="E40" s="29"/>
      <c r="F40" s="29"/>
      <c r="G40" s="29"/>
      <c r="H40" s="29"/>
      <c r="I40" s="76"/>
    </row>
    <row r="41" spans="1:9" ht="20.100000000000001" customHeight="1" x14ac:dyDescent="0.25">
      <c r="A41" s="77">
        <f t="shared" si="0"/>
        <v>34</v>
      </c>
      <c r="B41" s="29"/>
      <c r="C41" s="29"/>
      <c r="D41" s="29"/>
      <c r="E41" s="29"/>
      <c r="F41" s="29"/>
      <c r="G41" s="29"/>
      <c r="H41" s="29"/>
      <c r="I41" s="76"/>
    </row>
    <row r="42" spans="1:9" ht="20.100000000000001" customHeight="1" x14ac:dyDescent="0.25">
      <c r="A42" s="77">
        <f t="shared" si="0"/>
        <v>35</v>
      </c>
      <c r="B42" s="29"/>
      <c r="C42" s="29"/>
      <c r="D42" s="29"/>
      <c r="E42" s="29"/>
      <c r="F42" s="29"/>
      <c r="G42" s="29"/>
      <c r="H42" s="29"/>
      <c r="I42" s="76"/>
    </row>
    <row r="43" spans="1:9" s="3" customFormat="1" ht="20.100000000000001" customHeight="1" thickBot="1" x14ac:dyDescent="0.3">
      <c r="A43" s="78"/>
      <c r="B43" s="79"/>
      <c r="C43" s="79"/>
      <c r="D43" s="80"/>
      <c r="E43" s="80"/>
      <c r="F43" s="79"/>
      <c r="G43" s="79"/>
      <c r="H43" s="79"/>
      <c r="I43" s="81"/>
    </row>
    <row r="44" spans="1:9" ht="20.100000000000001" customHeight="1" thickTop="1" x14ac:dyDescent="0.25"/>
  </sheetData>
  <mergeCells count="4">
    <mergeCell ref="A1:I1"/>
    <mergeCell ref="A2:I2"/>
    <mergeCell ref="G3:I3"/>
    <mergeCell ref="G4:I4"/>
  </mergeCells>
  <pageMargins left="1" right="1" top="1" bottom="1" header="0.5" footer="0.5"/>
  <pageSetup scale="7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D4D9-568D-426D-A31E-E265637587C1}">
  <dimension ref="A1:R40"/>
  <sheetViews>
    <sheetView view="pageBreakPreview" zoomScale="136" zoomScaleNormal="97" workbookViewId="0">
      <selection activeCell="D26" sqref="D26:E26"/>
    </sheetView>
  </sheetViews>
  <sheetFormatPr defaultRowHeight="15" x14ac:dyDescent="0.25"/>
  <cols>
    <col min="1" max="1" width="5.7109375" bestFit="1" customWidth="1"/>
    <col min="2" max="2" width="11" bestFit="1" customWidth="1"/>
    <col min="3" max="3" width="8.28515625" style="94" bestFit="1" customWidth="1"/>
    <col min="4" max="4" width="11.85546875" style="94" customWidth="1"/>
    <col min="5" max="5" width="4.5703125" style="94" customWidth="1"/>
    <col min="6" max="8" width="9.42578125" style="94" bestFit="1" customWidth="1"/>
    <col min="9" max="9" width="11.5703125" style="94" customWidth="1"/>
    <col min="10" max="10" width="9.140625" style="94" bestFit="1" customWidth="1"/>
    <col min="11" max="11" width="8.7109375" style="94" customWidth="1"/>
    <col min="12" max="12" width="10.140625" style="94" bestFit="1" customWidth="1"/>
    <col min="13" max="13" width="15.85546875" customWidth="1"/>
    <col min="14" max="14" width="11" bestFit="1" customWidth="1"/>
  </cols>
  <sheetData>
    <row r="1" spans="1:18" ht="15.75" thickBot="1" x14ac:dyDescent="0.3">
      <c r="A1" s="46" t="s">
        <v>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8"/>
    </row>
    <row r="2" spans="1:18" x14ac:dyDescent="0.25">
      <c r="A2" s="49" t="s">
        <v>49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1"/>
    </row>
    <row r="3" spans="1:18" x14ac:dyDescent="0.25">
      <c r="A3" s="58" t="s">
        <v>54</v>
      </c>
      <c r="B3" s="59"/>
      <c r="C3" s="59"/>
      <c r="D3" t="s">
        <v>79</v>
      </c>
      <c r="E3"/>
      <c r="F3"/>
      <c r="G3" s="59"/>
      <c r="H3" s="59"/>
      <c r="I3" s="6"/>
      <c r="J3"/>
      <c r="K3"/>
      <c r="L3"/>
      <c r="R3" s="2"/>
    </row>
    <row r="4" spans="1:18" x14ac:dyDescent="0.25">
      <c r="A4" s="58" t="s">
        <v>55</v>
      </c>
      <c r="B4" s="59"/>
      <c r="C4" s="59"/>
      <c r="D4" t="str">
        <f>TEXT(B9,"mmm-yy")</f>
        <v>Jan-26</v>
      </c>
      <c r="E4"/>
      <c r="F4"/>
      <c r="G4" s="59"/>
      <c r="H4" s="59"/>
      <c r="I4" s="6"/>
      <c r="J4"/>
      <c r="K4"/>
      <c r="L4"/>
      <c r="R4" s="2"/>
    </row>
    <row r="5" spans="1:18" x14ac:dyDescent="0.25">
      <c r="A5" s="58" t="s">
        <v>56</v>
      </c>
      <c r="B5" s="59"/>
      <c r="C5" s="59"/>
      <c r="D5" t="s">
        <v>78</v>
      </c>
      <c r="E5"/>
      <c r="F5"/>
      <c r="G5"/>
      <c r="H5" s="6"/>
      <c r="I5" s="6"/>
      <c r="J5"/>
      <c r="K5"/>
      <c r="L5"/>
      <c r="R5" s="2"/>
    </row>
    <row r="6" spans="1:18" ht="15.75" thickBot="1" x14ac:dyDescent="0.3">
      <c r="A6" s="58"/>
      <c r="B6" s="59"/>
      <c r="C6" s="59"/>
      <c r="D6"/>
      <c r="E6"/>
      <c r="F6"/>
      <c r="G6"/>
      <c r="H6" s="6"/>
      <c r="I6" s="6"/>
      <c r="J6"/>
      <c r="K6"/>
      <c r="L6"/>
      <c r="R6" s="2"/>
    </row>
    <row r="7" spans="1:18" ht="15.75" thickBot="1" x14ac:dyDescent="0.3">
      <c r="A7" s="52" t="s">
        <v>2</v>
      </c>
      <c r="B7" s="52" t="s">
        <v>0</v>
      </c>
      <c r="C7" s="52" t="s">
        <v>44</v>
      </c>
      <c r="D7" s="54" t="s">
        <v>51</v>
      </c>
      <c r="E7" s="55"/>
      <c r="F7" s="60" t="s">
        <v>52</v>
      </c>
      <c r="G7" s="61"/>
      <c r="H7" s="61"/>
      <c r="I7" s="44" t="s">
        <v>53</v>
      </c>
      <c r="J7" s="60" t="s">
        <v>57</v>
      </c>
      <c r="K7" s="61"/>
      <c r="L7" s="62"/>
      <c r="M7" s="52" t="s">
        <v>48</v>
      </c>
      <c r="N7" s="44" t="s">
        <v>50</v>
      </c>
      <c r="O7" s="44" t="s">
        <v>63</v>
      </c>
      <c r="P7" s="44" t="s">
        <v>64</v>
      </c>
      <c r="Q7" s="52" t="s">
        <v>6</v>
      </c>
      <c r="R7" s="52" t="s">
        <v>17</v>
      </c>
    </row>
    <row r="8" spans="1:18" ht="15.75" customHeight="1" thickBot="1" x14ac:dyDescent="0.3">
      <c r="A8" s="53"/>
      <c r="B8" s="53"/>
      <c r="C8" s="53"/>
      <c r="D8" s="56"/>
      <c r="E8" s="57"/>
      <c r="F8" s="36"/>
      <c r="G8" s="36"/>
      <c r="H8" s="35"/>
      <c r="I8" s="45"/>
      <c r="J8" s="36" t="s">
        <v>45</v>
      </c>
      <c r="K8" s="36" t="s">
        <v>46</v>
      </c>
      <c r="L8" s="36" t="s">
        <v>47</v>
      </c>
      <c r="M8" s="53"/>
      <c r="N8" s="45"/>
      <c r="O8" s="45"/>
      <c r="P8" s="45"/>
      <c r="Q8" s="53"/>
      <c r="R8" s="53"/>
    </row>
    <row r="9" spans="1:18" x14ac:dyDescent="0.25">
      <c r="A9" s="31">
        <v>1</v>
      </c>
      <c r="B9" s="82">
        <v>46049</v>
      </c>
      <c r="C9" s="83" t="str">
        <f>TEXT(B9,"ddd")</f>
        <v>Tue</v>
      </c>
      <c r="D9" s="84">
        <v>422400</v>
      </c>
      <c r="E9" s="85"/>
      <c r="F9" s="83">
        <v>0</v>
      </c>
      <c r="G9" s="83">
        <v>0</v>
      </c>
      <c r="H9" s="86">
        <v>0</v>
      </c>
      <c r="I9" s="86">
        <f>SUM(D9:H9)</f>
        <v>422400</v>
      </c>
      <c r="J9" s="86">
        <v>421100</v>
      </c>
      <c r="K9" s="83">
        <v>1300</v>
      </c>
      <c r="L9" s="83">
        <f>+I9-J9-K9</f>
        <v>0</v>
      </c>
      <c r="M9" s="30" t="s">
        <v>77</v>
      </c>
      <c r="N9" s="82">
        <v>46049</v>
      </c>
      <c r="O9" s="37">
        <v>422400</v>
      </c>
      <c r="P9" s="37">
        <f>+I9-O9</f>
        <v>0</v>
      </c>
      <c r="Q9" s="37" t="s">
        <v>78</v>
      </c>
      <c r="R9" s="33"/>
    </row>
    <row r="10" spans="1:18" x14ac:dyDescent="0.25">
      <c r="A10" s="32">
        <f t="shared" ref="A10:A38" si="0">+A9+1</f>
        <v>2</v>
      </c>
      <c r="B10" s="29"/>
      <c r="C10" s="87"/>
      <c r="D10" s="88"/>
      <c r="E10" s="89"/>
      <c r="F10" s="87"/>
      <c r="G10" s="87"/>
      <c r="H10" s="90"/>
      <c r="I10" s="90"/>
      <c r="J10" s="90"/>
      <c r="K10" s="87"/>
      <c r="L10" s="87"/>
      <c r="M10" s="29"/>
      <c r="N10" s="29"/>
      <c r="O10" s="37"/>
      <c r="P10" s="37"/>
      <c r="Q10" s="37"/>
      <c r="R10" s="33"/>
    </row>
    <row r="11" spans="1:18" x14ac:dyDescent="0.25">
      <c r="A11" s="32">
        <f t="shared" si="0"/>
        <v>3</v>
      </c>
      <c r="B11" s="29"/>
      <c r="C11" s="87"/>
      <c r="D11" s="88"/>
      <c r="E11" s="89"/>
      <c r="F11" s="87"/>
      <c r="G11" s="87"/>
      <c r="H11" s="90"/>
      <c r="I11" s="90"/>
      <c r="J11" s="90"/>
      <c r="K11" s="87"/>
      <c r="L11" s="87"/>
      <c r="M11" s="29"/>
      <c r="N11" s="29"/>
      <c r="O11" s="37"/>
      <c r="P11" s="37"/>
      <c r="Q11" s="37"/>
      <c r="R11" s="33"/>
    </row>
    <row r="12" spans="1:18" x14ac:dyDescent="0.25">
      <c r="A12" s="32">
        <f t="shared" si="0"/>
        <v>4</v>
      </c>
      <c r="B12" s="29"/>
      <c r="C12" s="87"/>
      <c r="D12" s="88"/>
      <c r="E12" s="89"/>
      <c r="F12" s="87"/>
      <c r="G12" s="87"/>
      <c r="H12" s="90"/>
      <c r="I12" s="90"/>
      <c r="J12" s="90"/>
      <c r="K12" s="87"/>
      <c r="L12" s="87"/>
      <c r="M12" s="29"/>
      <c r="N12" s="29"/>
      <c r="O12" s="37"/>
      <c r="P12" s="37"/>
      <c r="Q12" s="37"/>
      <c r="R12" s="33"/>
    </row>
    <row r="13" spans="1:18" x14ac:dyDescent="0.25">
      <c r="A13" s="32">
        <f t="shared" si="0"/>
        <v>5</v>
      </c>
      <c r="B13" s="29"/>
      <c r="C13" s="87"/>
      <c r="D13" s="88"/>
      <c r="E13" s="89"/>
      <c r="F13" s="87"/>
      <c r="G13" s="87"/>
      <c r="H13" s="90"/>
      <c r="I13" s="90"/>
      <c r="J13" s="90"/>
      <c r="K13" s="87"/>
      <c r="L13" s="87"/>
      <c r="M13" s="29"/>
      <c r="N13" s="29"/>
      <c r="O13" s="37"/>
      <c r="P13" s="37"/>
      <c r="Q13" s="37"/>
      <c r="R13" s="33"/>
    </row>
    <row r="14" spans="1:18" x14ac:dyDescent="0.25">
      <c r="A14" s="32">
        <f t="shared" si="0"/>
        <v>6</v>
      </c>
      <c r="B14" s="29"/>
      <c r="C14" s="87"/>
      <c r="D14" s="88"/>
      <c r="E14" s="89"/>
      <c r="F14" s="87"/>
      <c r="G14" s="87"/>
      <c r="H14" s="90"/>
      <c r="I14" s="90"/>
      <c r="J14" s="90"/>
      <c r="K14" s="87"/>
      <c r="L14" s="87"/>
      <c r="M14" s="29"/>
      <c r="N14" s="29"/>
      <c r="O14" s="37"/>
      <c r="P14" s="37"/>
      <c r="Q14" s="37"/>
      <c r="R14" s="33"/>
    </row>
    <row r="15" spans="1:18" x14ac:dyDescent="0.25">
      <c r="A15" s="32">
        <f t="shared" si="0"/>
        <v>7</v>
      </c>
      <c r="B15" s="29"/>
      <c r="C15" s="87"/>
      <c r="D15" s="88"/>
      <c r="E15" s="89"/>
      <c r="F15" s="87"/>
      <c r="G15" s="87"/>
      <c r="H15" s="90"/>
      <c r="I15" s="90"/>
      <c r="J15" s="90"/>
      <c r="K15" s="87"/>
      <c r="L15" s="87"/>
      <c r="M15" s="29"/>
      <c r="N15" s="29"/>
      <c r="O15" s="37"/>
      <c r="P15" s="37"/>
      <c r="Q15" s="37"/>
      <c r="R15" s="33"/>
    </row>
    <row r="16" spans="1:18" x14ac:dyDescent="0.25">
      <c r="A16" s="32">
        <f t="shared" si="0"/>
        <v>8</v>
      </c>
      <c r="B16" s="29"/>
      <c r="C16" s="87"/>
      <c r="D16" s="88"/>
      <c r="E16" s="89"/>
      <c r="F16" s="87"/>
      <c r="G16" s="87"/>
      <c r="H16" s="90"/>
      <c r="I16" s="90"/>
      <c r="J16" s="90"/>
      <c r="K16" s="87"/>
      <c r="L16" s="87"/>
      <c r="M16" s="29"/>
      <c r="N16" s="29"/>
      <c r="O16" s="37"/>
      <c r="P16" s="37"/>
      <c r="Q16" s="37"/>
      <c r="R16" s="33"/>
    </row>
    <row r="17" spans="1:18" x14ac:dyDescent="0.25">
      <c r="A17" s="32">
        <f t="shared" si="0"/>
        <v>9</v>
      </c>
      <c r="B17" s="29"/>
      <c r="C17" s="87"/>
      <c r="D17" s="88"/>
      <c r="E17" s="89"/>
      <c r="F17" s="87"/>
      <c r="G17" s="87"/>
      <c r="H17" s="90"/>
      <c r="I17" s="90"/>
      <c r="J17" s="90"/>
      <c r="K17" s="87"/>
      <c r="L17" s="87"/>
      <c r="M17" s="29"/>
      <c r="N17" s="29"/>
      <c r="O17" s="37"/>
      <c r="P17" s="37"/>
      <c r="Q17" s="37"/>
      <c r="R17" s="33"/>
    </row>
    <row r="18" spans="1:18" x14ac:dyDescent="0.25">
      <c r="A18" s="32">
        <f t="shared" si="0"/>
        <v>10</v>
      </c>
      <c r="B18" s="29"/>
      <c r="C18" s="87"/>
      <c r="D18" s="88"/>
      <c r="E18" s="89"/>
      <c r="F18" s="87"/>
      <c r="G18" s="87"/>
      <c r="H18" s="90"/>
      <c r="I18" s="90"/>
      <c r="J18" s="90"/>
      <c r="K18" s="87"/>
      <c r="L18" s="87"/>
      <c r="M18" s="29"/>
      <c r="N18" s="29"/>
      <c r="O18" s="37"/>
      <c r="P18" s="37"/>
      <c r="Q18" s="37"/>
      <c r="R18" s="33"/>
    </row>
    <row r="19" spans="1:18" x14ac:dyDescent="0.25">
      <c r="A19" s="32">
        <f t="shared" si="0"/>
        <v>11</v>
      </c>
      <c r="B19" s="29"/>
      <c r="C19" s="87"/>
      <c r="D19" s="88"/>
      <c r="E19" s="89"/>
      <c r="F19" s="87"/>
      <c r="G19" s="87"/>
      <c r="H19" s="90"/>
      <c r="I19" s="90"/>
      <c r="J19" s="90"/>
      <c r="K19" s="87"/>
      <c r="L19" s="87"/>
      <c r="M19" s="29"/>
      <c r="N19" s="29"/>
      <c r="O19" s="37"/>
      <c r="P19" s="37"/>
      <c r="Q19" s="37"/>
      <c r="R19" s="33"/>
    </row>
    <row r="20" spans="1:18" x14ac:dyDescent="0.25">
      <c r="A20" s="32">
        <f t="shared" si="0"/>
        <v>12</v>
      </c>
      <c r="B20" s="29"/>
      <c r="C20" s="87"/>
      <c r="D20" s="88"/>
      <c r="E20" s="89"/>
      <c r="F20" s="87"/>
      <c r="G20" s="87"/>
      <c r="H20" s="90"/>
      <c r="I20" s="90"/>
      <c r="J20" s="90"/>
      <c r="K20" s="87"/>
      <c r="L20" s="87"/>
      <c r="M20" s="29"/>
      <c r="N20" s="29"/>
      <c r="O20" s="37"/>
      <c r="P20" s="37"/>
      <c r="Q20" s="37"/>
      <c r="R20" s="33"/>
    </row>
    <row r="21" spans="1:18" x14ac:dyDescent="0.25">
      <c r="A21" s="32">
        <f t="shared" si="0"/>
        <v>13</v>
      </c>
      <c r="B21" s="29"/>
      <c r="C21" s="87"/>
      <c r="D21" s="88"/>
      <c r="E21" s="89"/>
      <c r="F21" s="87"/>
      <c r="G21" s="87"/>
      <c r="H21" s="90"/>
      <c r="I21" s="90"/>
      <c r="J21" s="90"/>
      <c r="K21" s="87"/>
      <c r="L21" s="87"/>
      <c r="M21" s="29"/>
      <c r="N21" s="29"/>
      <c r="O21" s="37"/>
      <c r="P21" s="37"/>
      <c r="Q21" s="37"/>
      <c r="R21" s="33"/>
    </row>
    <row r="22" spans="1:18" x14ac:dyDescent="0.25">
      <c r="A22" s="32">
        <f t="shared" si="0"/>
        <v>14</v>
      </c>
      <c r="B22" s="29"/>
      <c r="C22" s="87"/>
      <c r="D22" s="88"/>
      <c r="E22" s="89"/>
      <c r="F22" s="87"/>
      <c r="G22" s="87"/>
      <c r="H22" s="90"/>
      <c r="I22" s="90"/>
      <c r="J22" s="90"/>
      <c r="K22" s="87"/>
      <c r="L22" s="87"/>
      <c r="M22" s="29"/>
      <c r="N22" s="29"/>
      <c r="O22" s="37"/>
      <c r="P22" s="37"/>
      <c r="Q22" s="37"/>
      <c r="R22" s="33"/>
    </row>
    <row r="23" spans="1:18" x14ac:dyDescent="0.25">
      <c r="A23" s="32">
        <f t="shared" si="0"/>
        <v>15</v>
      </c>
      <c r="B23" s="29"/>
      <c r="C23" s="87"/>
      <c r="D23" s="88"/>
      <c r="E23" s="89"/>
      <c r="F23" s="87"/>
      <c r="G23" s="87"/>
      <c r="H23" s="90"/>
      <c r="I23" s="90"/>
      <c r="J23" s="90"/>
      <c r="K23" s="87"/>
      <c r="L23" s="87"/>
      <c r="M23" s="29"/>
      <c r="N23" s="29"/>
      <c r="O23" s="37"/>
      <c r="P23" s="37"/>
      <c r="Q23" s="37"/>
      <c r="R23" s="33"/>
    </row>
    <row r="24" spans="1:18" x14ac:dyDescent="0.25">
      <c r="A24" s="32">
        <f t="shared" si="0"/>
        <v>16</v>
      </c>
      <c r="B24" s="29"/>
      <c r="C24" s="87"/>
      <c r="D24" s="88"/>
      <c r="E24" s="89"/>
      <c r="F24" s="87"/>
      <c r="G24" s="87"/>
      <c r="H24" s="90"/>
      <c r="I24" s="90"/>
      <c r="J24" s="90"/>
      <c r="K24" s="87"/>
      <c r="L24" s="87"/>
      <c r="M24" s="29"/>
      <c r="N24" s="29"/>
      <c r="O24" s="37"/>
      <c r="P24" s="37"/>
      <c r="Q24" s="37"/>
      <c r="R24" s="33"/>
    </row>
    <row r="25" spans="1:18" x14ac:dyDescent="0.25">
      <c r="A25" s="32">
        <f t="shared" si="0"/>
        <v>17</v>
      </c>
      <c r="B25" s="29"/>
      <c r="C25" s="87"/>
      <c r="D25" s="88"/>
      <c r="E25" s="89"/>
      <c r="F25" s="87"/>
      <c r="G25" s="87"/>
      <c r="H25" s="90"/>
      <c r="I25" s="90"/>
      <c r="J25" s="87"/>
      <c r="K25" s="87"/>
      <c r="L25" s="87"/>
      <c r="M25" s="29"/>
      <c r="N25" s="29"/>
      <c r="O25" s="37"/>
      <c r="P25" s="37"/>
      <c r="Q25" s="37"/>
      <c r="R25" s="33"/>
    </row>
    <row r="26" spans="1:18" x14ac:dyDescent="0.25">
      <c r="A26" s="32">
        <f t="shared" si="0"/>
        <v>18</v>
      </c>
      <c r="B26" s="29"/>
      <c r="C26" s="87"/>
      <c r="D26" s="88"/>
      <c r="E26" s="89"/>
      <c r="F26" s="87"/>
      <c r="G26" s="87"/>
      <c r="H26" s="90"/>
      <c r="I26" s="90"/>
      <c r="J26" s="87"/>
      <c r="K26" s="87"/>
      <c r="L26" s="87"/>
      <c r="M26" s="29"/>
      <c r="N26" s="29"/>
      <c r="O26" s="37"/>
      <c r="P26" s="37"/>
      <c r="Q26" s="37"/>
      <c r="R26" s="33"/>
    </row>
    <row r="27" spans="1:18" x14ac:dyDescent="0.25">
      <c r="A27" s="32">
        <f t="shared" si="0"/>
        <v>19</v>
      </c>
      <c r="B27" s="29"/>
      <c r="C27" s="87"/>
      <c r="D27" s="88"/>
      <c r="E27" s="89"/>
      <c r="F27" s="87"/>
      <c r="G27" s="87"/>
      <c r="H27" s="90"/>
      <c r="I27" s="90"/>
      <c r="J27" s="87"/>
      <c r="K27" s="87"/>
      <c r="L27" s="87"/>
      <c r="M27" s="29"/>
      <c r="N27" s="29"/>
      <c r="O27" s="37"/>
      <c r="P27" s="37"/>
      <c r="Q27" s="37"/>
      <c r="R27" s="33"/>
    </row>
    <row r="28" spans="1:18" x14ac:dyDescent="0.25">
      <c r="A28" s="32">
        <f t="shared" si="0"/>
        <v>20</v>
      </c>
      <c r="B28" s="29"/>
      <c r="C28" s="87"/>
      <c r="D28" s="88"/>
      <c r="E28" s="89"/>
      <c r="F28" s="87"/>
      <c r="G28" s="87"/>
      <c r="H28" s="90"/>
      <c r="I28" s="90"/>
      <c r="J28" s="87"/>
      <c r="K28" s="87"/>
      <c r="L28" s="87"/>
      <c r="M28" s="29"/>
      <c r="N28" s="29"/>
      <c r="O28" s="37"/>
      <c r="P28" s="37"/>
      <c r="Q28" s="37"/>
      <c r="R28" s="33"/>
    </row>
    <row r="29" spans="1:18" x14ac:dyDescent="0.25">
      <c r="A29" s="32">
        <f t="shared" si="0"/>
        <v>21</v>
      </c>
      <c r="B29" s="29"/>
      <c r="C29" s="87"/>
      <c r="D29" s="88"/>
      <c r="E29" s="89"/>
      <c r="F29" s="87"/>
      <c r="G29" s="87"/>
      <c r="H29" s="90"/>
      <c r="I29" s="90"/>
      <c r="J29" s="87"/>
      <c r="K29" s="87"/>
      <c r="L29" s="87"/>
      <c r="M29" s="29"/>
      <c r="N29" s="29"/>
      <c r="O29" s="37"/>
      <c r="P29" s="37"/>
      <c r="Q29" s="37"/>
      <c r="R29" s="33"/>
    </row>
    <row r="30" spans="1:18" x14ac:dyDescent="0.25">
      <c r="A30" s="32">
        <f t="shared" si="0"/>
        <v>22</v>
      </c>
      <c r="B30" s="29"/>
      <c r="C30" s="87"/>
      <c r="D30" s="88"/>
      <c r="E30" s="89"/>
      <c r="F30" s="87"/>
      <c r="G30" s="87"/>
      <c r="H30" s="90"/>
      <c r="I30" s="90"/>
      <c r="J30" s="87"/>
      <c r="K30" s="87"/>
      <c r="L30" s="87"/>
      <c r="M30" s="29"/>
      <c r="N30" s="29"/>
      <c r="O30" s="37"/>
      <c r="P30" s="37"/>
      <c r="Q30" s="37"/>
      <c r="R30" s="33"/>
    </row>
    <row r="31" spans="1:18" x14ac:dyDescent="0.25">
      <c r="A31" s="32">
        <f t="shared" si="0"/>
        <v>23</v>
      </c>
      <c r="B31" s="29"/>
      <c r="C31" s="87"/>
      <c r="D31" s="88"/>
      <c r="E31" s="89"/>
      <c r="F31" s="87"/>
      <c r="G31" s="87"/>
      <c r="H31" s="90"/>
      <c r="I31" s="90"/>
      <c r="J31" s="87"/>
      <c r="K31" s="87"/>
      <c r="L31" s="87"/>
      <c r="M31" s="29"/>
      <c r="N31" s="29"/>
      <c r="O31" s="37"/>
      <c r="P31" s="37"/>
      <c r="Q31" s="37"/>
      <c r="R31" s="33"/>
    </row>
    <row r="32" spans="1:18" x14ac:dyDescent="0.25">
      <c r="A32" s="32">
        <f t="shared" si="0"/>
        <v>24</v>
      </c>
      <c r="B32" s="29"/>
      <c r="C32" s="87"/>
      <c r="D32" s="88"/>
      <c r="E32" s="89"/>
      <c r="F32" s="87"/>
      <c r="G32" s="87"/>
      <c r="H32" s="90"/>
      <c r="I32" s="90"/>
      <c r="J32" s="87"/>
      <c r="K32" s="87"/>
      <c r="L32" s="87"/>
      <c r="M32" s="29"/>
      <c r="N32" s="29"/>
      <c r="O32" s="37"/>
      <c r="P32" s="37"/>
      <c r="Q32" s="37"/>
      <c r="R32" s="33"/>
    </row>
    <row r="33" spans="1:18" x14ac:dyDescent="0.25">
      <c r="A33" s="32">
        <f t="shared" si="0"/>
        <v>25</v>
      </c>
      <c r="B33" s="29"/>
      <c r="C33" s="87"/>
      <c r="D33" s="88"/>
      <c r="E33" s="89"/>
      <c r="F33" s="87"/>
      <c r="G33" s="87"/>
      <c r="H33" s="90"/>
      <c r="I33" s="90"/>
      <c r="J33" s="87"/>
      <c r="K33" s="87"/>
      <c r="L33" s="87"/>
      <c r="M33" s="29"/>
      <c r="N33" s="29"/>
      <c r="O33" s="37"/>
      <c r="P33" s="37"/>
      <c r="Q33" s="37"/>
      <c r="R33" s="33"/>
    </row>
    <row r="34" spans="1:18" x14ac:dyDescent="0.25">
      <c r="A34" s="32">
        <f t="shared" si="0"/>
        <v>26</v>
      </c>
      <c r="B34" s="29"/>
      <c r="C34" s="87"/>
      <c r="D34" s="88"/>
      <c r="E34" s="89"/>
      <c r="F34" s="87"/>
      <c r="G34" s="87"/>
      <c r="H34" s="90"/>
      <c r="I34" s="90"/>
      <c r="J34" s="87"/>
      <c r="K34" s="87"/>
      <c r="L34" s="87"/>
      <c r="M34" s="29"/>
      <c r="N34" s="29"/>
      <c r="O34" s="37"/>
      <c r="P34" s="37"/>
      <c r="Q34" s="37"/>
      <c r="R34" s="33"/>
    </row>
    <row r="35" spans="1:18" x14ac:dyDescent="0.25">
      <c r="A35" s="32">
        <f t="shared" si="0"/>
        <v>27</v>
      </c>
      <c r="B35" s="29"/>
      <c r="C35" s="87"/>
      <c r="D35" s="88"/>
      <c r="E35" s="89"/>
      <c r="F35" s="87"/>
      <c r="G35" s="87"/>
      <c r="H35" s="90"/>
      <c r="I35" s="90"/>
      <c r="J35" s="87"/>
      <c r="K35" s="87"/>
      <c r="L35" s="87"/>
      <c r="M35" s="29"/>
      <c r="N35" s="29"/>
      <c r="O35" s="37"/>
      <c r="P35" s="37"/>
      <c r="Q35" s="37"/>
      <c r="R35" s="33"/>
    </row>
    <row r="36" spans="1:18" x14ac:dyDescent="0.25">
      <c r="A36" s="32">
        <f t="shared" si="0"/>
        <v>28</v>
      </c>
      <c r="B36" s="29"/>
      <c r="C36" s="87"/>
      <c r="D36" s="88"/>
      <c r="E36" s="89"/>
      <c r="F36" s="87"/>
      <c r="G36" s="87"/>
      <c r="H36" s="90"/>
      <c r="I36" s="90"/>
      <c r="J36" s="87"/>
      <c r="K36" s="87"/>
      <c r="L36" s="87"/>
      <c r="M36" s="29"/>
      <c r="N36" s="29"/>
      <c r="O36" s="37"/>
      <c r="P36" s="37"/>
      <c r="Q36" s="37"/>
      <c r="R36" s="33"/>
    </row>
    <row r="37" spans="1:18" x14ac:dyDescent="0.25">
      <c r="A37" s="32">
        <f t="shared" si="0"/>
        <v>29</v>
      </c>
      <c r="B37" s="29"/>
      <c r="C37" s="87"/>
      <c r="D37" s="88"/>
      <c r="E37" s="89"/>
      <c r="F37" s="87"/>
      <c r="G37" s="87"/>
      <c r="H37" s="90"/>
      <c r="I37" s="90"/>
      <c r="J37" s="87"/>
      <c r="K37" s="87"/>
      <c r="L37" s="87"/>
      <c r="M37" s="29"/>
      <c r="N37" s="29"/>
      <c r="O37" s="37"/>
      <c r="P37" s="37"/>
      <c r="Q37" s="37"/>
      <c r="R37" s="33"/>
    </row>
    <row r="38" spans="1:18" x14ac:dyDescent="0.25">
      <c r="A38" s="32">
        <f t="shared" si="0"/>
        <v>30</v>
      </c>
      <c r="B38" s="29"/>
      <c r="C38" s="87"/>
      <c r="D38" s="88"/>
      <c r="E38" s="89"/>
      <c r="F38" s="87"/>
      <c r="G38" s="87"/>
      <c r="H38" s="90"/>
      <c r="I38" s="90"/>
      <c r="J38" s="87"/>
      <c r="K38" s="87"/>
      <c r="L38" s="87"/>
      <c r="M38" s="29"/>
      <c r="N38" s="29"/>
      <c r="O38" s="37"/>
      <c r="P38" s="37"/>
      <c r="Q38" s="37"/>
      <c r="R38" s="33"/>
    </row>
    <row r="39" spans="1:18" x14ac:dyDescent="0.25">
      <c r="A39" s="32">
        <f t="shared" ref="A39" si="1">+A38+1</f>
        <v>31</v>
      </c>
      <c r="B39" s="29"/>
      <c r="C39" s="87"/>
      <c r="D39" s="88"/>
      <c r="E39" s="89"/>
      <c r="F39" s="87"/>
      <c r="G39" s="87"/>
      <c r="H39" s="90"/>
      <c r="I39" s="90"/>
      <c r="J39" s="87"/>
      <c r="K39" s="87"/>
      <c r="L39" s="87"/>
      <c r="M39" s="29"/>
      <c r="N39" s="29"/>
      <c r="O39" s="37"/>
      <c r="P39" s="37"/>
      <c r="Q39" s="37"/>
      <c r="R39" s="33"/>
    </row>
    <row r="40" spans="1:18" s="3" customFormat="1" ht="15.75" thickBot="1" x14ac:dyDescent="0.3">
      <c r="A40" s="34"/>
      <c r="B40" s="27"/>
      <c r="C40" s="91"/>
      <c r="D40" s="91"/>
      <c r="E40" s="92"/>
      <c r="F40" s="92"/>
      <c r="G40" s="92"/>
      <c r="H40" s="92"/>
      <c r="I40" s="92"/>
      <c r="J40" s="93"/>
      <c r="K40" s="92"/>
      <c r="L40" s="92"/>
      <c r="M40" s="27"/>
      <c r="N40" s="27"/>
      <c r="O40" s="27"/>
      <c r="P40" s="27"/>
      <c r="Q40" s="27"/>
      <c r="R40" s="28"/>
    </row>
  </sheetData>
  <mergeCells count="53">
    <mergeCell ref="O7:O8"/>
    <mergeCell ref="P7:P8"/>
    <mergeCell ref="Q7:Q8"/>
    <mergeCell ref="C40:D40"/>
    <mergeCell ref="D27:E27"/>
    <mergeCell ref="D22:E22"/>
    <mergeCell ref="D23:E23"/>
    <mergeCell ref="D24:E24"/>
    <mergeCell ref="D25:E25"/>
    <mergeCell ref="D26:E26"/>
    <mergeCell ref="D39:E39"/>
    <mergeCell ref="D34:E34"/>
    <mergeCell ref="D35:E35"/>
    <mergeCell ref="D36:E36"/>
    <mergeCell ref="D37:E37"/>
    <mergeCell ref="D38:E38"/>
    <mergeCell ref="J7:L7"/>
    <mergeCell ref="D10:E10"/>
    <mergeCell ref="D11:E11"/>
    <mergeCell ref="D12:E12"/>
    <mergeCell ref="D13:E13"/>
    <mergeCell ref="I7:I8"/>
    <mergeCell ref="N7:N8"/>
    <mergeCell ref="A1:R1"/>
    <mergeCell ref="A2:R2"/>
    <mergeCell ref="R7:R8"/>
    <mergeCell ref="A7:A8"/>
    <mergeCell ref="B7:B8"/>
    <mergeCell ref="C7:C8"/>
    <mergeCell ref="D7:E8"/>
    <mergeCell ref="M7:M8"/>
    <mergeCell ref="A3:C3"/>
    <mergeCell ref="G3:H3"/>
    <mergeCell ref="A4:C4"/>
    <mergeCell ref="G4:H4"/>
    <mergeCell ref="A5:C5"/>
    <mergeCell ref="A6:C6"/>
    <mergeCell ref="F7:H7"/>
    <mergeCell ref="D30:E30"/>
    <mergeCell ref="D31:E31"/>
    <mergeCell ref="D33:E33"/>
    <mergeCell ref="D9:E9"/>
    <mergeCell ref="D14:E14"/>
    <mergeCell ref="D15:E15"/>
    <mergeCell ref="D16:E16"/>
    <mergeCell ref="D17:E17"/>
    <mergeCell ref="D18:E18"/>
    <mergeCell ref="D19:E19"/>
    <mergeCell ref="D20:E20"/>
    <mergeCell ref="D21:E21"/>
    <mergeCell ref="D32:E32"/>
    <mergeCell ref="D28:E28"/>
    <mergeCell ref="D29:E29"/>
  </mergeCells>
  <conditionalFormatting sqref="L9:L26">
    <cfRule type="cellIs" dxfId="4" priority="2" operator="equal">
      <formula>0</formula>
    </cfRule>
    <cfRule type="cellIs" dxfId="3" priority="1" operator="greaterThan">
      <formula>0</formula>
    </cfRule>
  </conditionalFormatting>
  <pageMargins left="0.12" right="0.28000000000000003" top="0.31" bottom="0.12" header="0.3" footer="0.12"/>
  <pageSetup scale="7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8B16-BBE5-49A3-AED4-2A3B3B03A6B2}">
  <dimension ref="A1:J42"/>
  <sheetViews>
    <sheetView view="pageBreakPreview" zoomScale="136" zoomScaleNormal="97" workbookViewId="0">
      <selection activeCell="J3" sqref="J1:J1048576"/>
    </sheetView>
  </sheetViews>
  <sheetFormatPr defaultRowHeight="15" x14ac:dyDescent="0.25"/>
  <cols>
    <col min="1" max="1" width="5.7109375" bestFit="1" customWidth="1"/>
    <col min="2" max="2" width="10.7109375" customWidth="1"/>
    <col min="3" max="3" width="7.42578125" customWidth="1"/>
    <col min="4" max="4" width="11.85546875" customWidth="1"/>
    <col min="5" max="5" width="4.5703125" customWidth="1"/>
    <col min="6" max="6" width="9.42578125" bestFit="1" customWidth="1"/>
    <col min="7" max="7" width="18.7109375" bestFit="1" customWidth="1"/>
  </cols>
  <sheetData>
    <row r="1" spans="1:10" ht="15.75" thickBot="1" x14ac:dyDescent="0.3">
      <c r="A1" s="46" t="s">
        <v>1</v>
      </c>
      <c r="B1" s="47"/>
      <c r="C1" s="47"/>
      <c r="D1" s="47"/>
      <c r="E1" s="47"/>
      <c r="F1" s="47"/>
      <c r="G1" s="47"/>
      <c r="H1" s="47"/>
      <c r="I1" s="47"/>
      <c r="J1" s="48"/>
    </row>
    <row r="2" spans="1:10" x14ac:dyDescent="0.25">
      <c r="A2" s="49" t="s">
        <v>58</v>
      </c>
      <c r="B2" s="50"/>
      <c r="C2" s="50"/>
      <c r="D2" s="50"/>
      <c r="E2" s="50"/>
      <c r="F2" s="50"/>
      <c r="G2" s="50"/>
      <c r="H2" s="50"/>
      <c r="I2" s="50"/>
      <c r="J2" s="51"/>
    </row>
    <row r="3" spans="1:10" x14ac:dyDescent="0.25">
      <c r="A3" s="58" t="s">
        <v>54</v>
      </c>
      <c r="B3" s="59"/>
      <c r="C3" s="59"/>
      <c r="J3" s="2"/>
    </row>
    <row r="4" spans="1:10" x14ac:dyDescent="0.25">
      <c r="A4" s="58" t="s">
        <v>55</v>
      </c>
      <c r="B4" s="59"/>
      <c r="C4" s="59"/>
      <c r="J4" s="2"/>
    </row>
    <row r="5" spans="1:10" x14ac:dyDescent="0.25">
      <c r="A5" s="58" t="s">
        <v>56</v>
      </c>
      <c r="B5" s="59"/>
      <c r="C5" s="59"/>
      <c r="J5" s="2"/>
    </row>
    <row r="6" spans="1:10" ht="15.75" thickBot="1" x14ac:dyDescent="0.3">
      <c r="A6" s="58"/>
      <c r="B6" s="59"/>
      <c r="C6" s="59"/>
      <c r="J6" s="2"/>
    </row>
    <row r="7" spans="1:10" x14ac:dyDescent="0.25">
      <c r="A7" s="52" t="s">
        <v>2</v>
      </c>
      <c r="B7" s="52" t="s">
        <v>0</v>
      </c>
      <c r="C7" s="52" t="s">
        <v>44</v>
      </c>
      <c r="D7" s="54" t="s">
        <v>59</v>
      </c>
      <c r="E7" s="55"/>
      <c r="F7" s="52" t="s">
        <v>60</v>
      </c>
      <c r="G7" s="52" t="s">
        <v>61</v>
      </c>
      <c r="H7" s="44" t="s">
        <v>50</v>
      </c>
      <c r="I7" s="44" t="s">
        <v>47</v>
      </c>
      <c r="J7" s="52" t="s">
        <v>17</v>
      </c>
    </row>
    <row r="8" spans="1:10" ht="15.75" thickBot="1" x14ac:dyDescent="0.3">
      <c r="A8" s="53"/>
      <c r="B8" s="53"/>
      <c r="C8" s="53"/>
      <c r="D8" s="56"/>
      <c r="E8" s="57"/>
      <c r="F8" s="53"/>
      <c r="G8" s="53"/>
      <c r="H8" s="45"/>
      <c r="I8" s="45"/>
      <c r="J8" s="53"/>
    </row>
    <row r="9" spans="1:10" x14ac:dyDescent="0.25">
      <c r="A9" s="31">
        <v>1</v>
      </c>
      <c r="B9" s="30"/>
      <c r="C9" s="30"/>
      <c r="D9" s="42"/>
      <c r="E9" s="43"/>
      <c r="F9" s="30"/>
      <c r="G9" s="30"/>
      <c r="H9" s="30"/>
      <c r="I9" s="37"/>
      <c r="J9" s="33"/>
    </row>
    <row r="10" spans="1:10" x14ac:dyDescent="0.25">
      <c r="A10" s="32">
        <f t="shared" ref="A10:A39" si="0">+A9+1</f>
        <v>2</v>
      </c>
      <c r="B10" s="29"/>
      <c r="C10" s="29"/>
      <c r="D10" s="40"/>
      <c r="E10" s="41"/>
      <c r="F10" s="29"/>
      <c r="G10" s="29"/>
      <c r="H10" s="29"/>
      <c r="I10" s="37"/>
      <c r="J10" s="33"/>
    </row>
    <row r="11" spans="1:10" x14ac:dyDescent="0.25">
      <c r="A11" s="32">
        <f t="shared" si="0"/>
        <v>3</v>
      </c>
      <c r="B11" s="29"/>
      <c r="C11" s="29"/>
      <c r="D11" s="40"/>
      <c r="E11" s="41"/>
      <c r="F11" s="29"/>
      <c r="G11" s="29"/>
      <c r="H11" s="29"/>
      <c r="I11" s="37"/>
      <c r="J11" s="33"/>
    </row>
    <row r="12" spans="1:10" x14ac:dyDescent="0.25">
      <c r="A12" s="32">
        <f t="shared" si="0"/>
        <v>4</v>
      </c>
      <c r="B12" s="29"/>
      <c r="C12" s="29"/>
      <c r="D12" s="40"/>
      <c r="E12" s="41"/>
      <c r="F12" s="29"/>
      <c r="G12" s="29"/>
      <c r="H12" s="29"/>
      <c r="I12" s="37"/>
      <c r="J12" s="33"/>
    </row>
    <row r="13" spans="1:10" x14ac:dyDescent="0.25">
      <c r="A13" s="32">
        <f t="shared" si="0"/>
        <v>5</v>
      </c>
      <c r="B13" s="29"/>
      <c r="C13" s="29"/>
      <c r="D13" s="40"/>
      <c r="E13" s="41"/>
      <c r="F13" s="29"/>
      <c r="G13" s="29"/>
      <c r="H13" s="29"/>
      <c r="I13" s="37"/>
      <c r="J13" s="33"/>
    </row>
    <row r="14" spans="1:10" x14ac:dyDescent="0.25">
      <c r="A14" s="32">
        <f t="shared" si="0"/>
        <v>6</v>
      </c>
      <c r="B14" s="29"/>
      <c r="C14" s="29"/>
      <c r="D14" s="40"/>
      <c r="E14" s="41"/>
      <c r="F14" s="29"/>
      <c r="G14" s="29"/>
      <c r="H14" s="29"/>
      <c r="I14" s="37"/>
      <c r="J14" s="33"/>
    </row>
    <row r="15" spans="1:10" x14ac:dyDescent="0.25">
      <c r="A15" s="32">
        <f t="shared" si="0"/>
        <v>7</v>
      </c>
      <c r="B15" s="29"/>
      <c r="C15" s="29"/>
      <c r="D15" s="40"/>
      <c r="E15" s="41"/>
      <c r="F15" s="29"/>
      <c r="G15" s="29"/>
      <c r="H15" s="29"/>
      <c r="I15" s="37"/>
      <c r="J15" s="33"/>
    </row>
    <row r="16" spans="1:10" x14ac:dyDescent="0.25">
      <c r="A16" s="32">
        <f t="shared" si="0"/>
        <v>8</v>
      </c>
      <c r="B16" s="29"/>
      <c r="C16" s="29"/>
      <c r="D16" s="40"/>
      <c r="E16" s="41"/>
      <c r="F16" s="29"/>
      <c r="G16" s="29"/>
      <c r="H16" s="29"/>
      <c r="I16" s="37"/>
      <c r="J16" s="33"/>
    </row>
    <row r="17" spans="1:10" x14ac:dyDescent="0.25">
      <c r="A17" s="32">
        <f t="shared" si="0"/>
        <v>9</v>
      </c>
      <c r="B17" s="29"/>
      <c r="C17" s="29"/>
      <c r="D17" s="40"/>
      <c r="E17" s="41"/>
      <c r="F17" s="29"/>
      <c r="G17" s="29"/>
      <c r="H17" s="29"/>
      <c r="I17" s="37"/>
      <c r="J17" s="33"/>
    </row>
    <row r="18" spans="1:10" x14ac:dyDescent="0.25">
      <c r="A18" s="32">
        <f t="shared" si="0"/>
        <v>10</v>
      </c>
      <c r="B18" s="29"/>
      <c r="C18" s="29"/>
      <c r="D18" s="40"/>
      <c r="E18" s="41"/>
      <c r="F18" s="29"/>
      <c r="G18" s="29"/>
      <c r="H18" s="29"/>
      <c r="I18" s="37"/>
      <c r="J18" s="33"/>
    </row>
    <row r="19" spans="1:10" x14ac:dyDescent="0.25">
      <c r="A19" s="32">
        <f t="shared" si="0"/>
        <v>11</v>
      </c>
      <c r="B19" s="29"/>
      <c r="C19" s="29"/>
      <c r="D19" s="40"/>
      <c r="E19" s="41"/>
      <c r="F19" s="29"/>
      <c r="G19" s="29"/>
      <c r="H19" s="29"/>
      <c r="I19" s="37"/>
      <c r="J19" s="33"/>
    </row>
    <row r="20" spans="1:10" x14ac:dyDescent="0.25">
      <c r="A20" s="32">
        <f t="shared" si="0"/>
        <v>12</v>
      </c>
      <c r="B20" s="29"/>
      <c r="C20" s="29"/>
      <c r="D20" s="40"/>
      <c r="E20" s="41"/>
      <c r="F20" s="29"/>
      <c r="G20" s="29"/>
      <c r="H20" s="29"/>
      <c r="I20" s="37"/>
      <c r="J20" s="33"/>
    </row>
    <row r="21" spans="1:10" x14ac:dyDescent="0.25">
      <c r="A21" s="32">
        <f t="shared" si="0"/>
        <v>13</v>
      </c>
      <c r="B21" s="29"/>
      <c r="C21" s="29"/>
      <c r="D21" s="40"/>
      <c r="E21" s="41"/>
      <c r="F21" s="29"/>
      <c r="G21" s="29"/>
      <c r="H21" s="29"/>
      <c r="I21" s="37"/>
      <c r="J21" s="33"/>
    </row>
    <row r="22" spans="1:10" x14ac:dyDescent="0.25">
      <c r="A22" s="32">
        <f t="shared" si="0"/>
        <v>14</v>
      </c>
      <c r="B22" s="29"/>
      <c r="C22" s="29"/>
      <c r="D22" s="40"/>
      <c r="E22" s="41"/>
      <c r="F22" s="29"/>
      <c r="G22" s="29"/>
      <c r="H22" s="29"/>
      <c r="I22" s="37"/>
      <c r="J22" s="33"/>
    </row>
    <row r="23" spans="1:10" x14ac:dyDescent="0.25">
      <c r="A23" s="32">
        <f t="shared" si="0"/>
        <v>15</v>
      </c>
      <c r="B23" s="29"/>
      <c r="C23" s="29"/>
      <c r="D23" s="40"/>
      <c r="E23" s="41"/>
      <c r="F23" s="29"/>
      <c r="G23" s="29"/>
      <c r="H23" s="29"/>
      <c r="I23" s="37"/>
      <c r="J23" s="33"/>
    </row>
    <row r="24" spans="1:10" x14ac:dyDescent="0.25">
      <c r="A24" s="32">
        <f t="shared" si="0"/>
        <v>16</v>
      </c>
      <c r="B24" s="29"/>
      <c r="C24" s="29"/>
      <c r="D24" s="40"/>
      <c r="E24" s="41"/>
      <c r="F24" s="29"/>
      <c r="G24" s="29"/>
      <c r="H24" s="29"/>
      <c r="I24" s="37"/>
      <c r="J24" s="33"/>
    </row>
    <row r="25" spans="1:10" x14ac:dyDescent="0.25">
      <c r="A25" s="32">
        <f t="shared" si="0"/>
        <v>17</v>
      </c>
      <c r="B25" s="29"/>
      <c r="C25" s="29"/>
      <c r="D25" s="40"/>
      <c r="E25" s="41"/>
      <c r="F25" s="29"/>
      <c r="G25" s="29"/>
      <c r="H25" s="29"/>
      <c r="I25" s="37"/>
      <c r="J25" s="33"/>
    </row>
    <row r="26" spans="1:10" x14ac:dyDescent="0.25">
      <c r="A26" s="32">
        <f t="shared" si="0"/>
        <v>18</v>
      </c>
      <c r="B26" s="29"/>
      <c r="C26" s="29"/>
      <c r="D26" s="40"/>
      <c r="E26" s="41"/>
      <c r="F26" s="29"/>
      <c r="G26" s="29"/>
      <c r="H26" s="29"/>
      <c r="I26" s="37"/>
      <c r="J26" s="33"/>
    </row>
    <row r="27" spans="1:10" x14ac:dyDescent="0.25">
      <c r="A27" s="32">
        <f t="shared" si="0"/>
        <v>19</v>
      </c>
      <c r="B27" s="29"/>
      <c r="C27" s="29"/>
      <c r="D27" s="40"/>
      <c r="E27" s="41"/>
      <c r="F27" s="29"/>
      <c r="G27" s="29"/>
      <c r="H27" s="29"/>
      <c r="I27" s="37"/>
      <c r="J27" s="33"/>
    </row>
    <row r="28" spans="1:10" x14ac:dyDescent="0.25">
      <c r="A28" s="32">
        <f t="shared" si="0"/>
        <v>20</v>
      </c>
      <c r="B28" s="29"/>
      <c r="C28" s="29"/>
      <c r="D28" s="40"/>
      <c r="E28" s="41"/>
      <c r="F28" s="29"/>
      <c r="G28" s="29"/>
      <c r="H28" s="29"/>
      <c r="I28" s="37"/>
      <c r="J28" s="33"/>
    </row>
    <row r="29" spans="1:10" x14ac:dyDescent="0.25">
      <c r="A29" s="32">
        <f t="shared" si="0"/>
        <v>21</v>
      </c>
      <c r="B29" s="29"/>
      <c r="C29" s="29"/>
      <c r="D29" s="40"/>
      <c r="E29" s="41"/>
      <c r="F29" s="29"/>
      <c r="G29" s="29"/>
      <c r="H29" s="29"/>
      <c r="I29" s="37"/>
      <c r="J29" s="33"/>
    </row>
    <row r="30" spans="1:10" x14ac:dyDescent="0.25">
      <c r="A30" s="32">
        <f t="shared" si="0"/>
        <v>22</v>
      </c>
      <c r="B30" s="29"/>
      <c r="C30" s="29"/>
      <c r="D30" s="40"/>
      <c r="E30" s="41"/>
      <c r="F30" s="29"/>
      <c r="G30" s="29"/>
      <c r="H30" s="29"/>
      <c r="I30" s="37"/>
      <c r="J30" s="33"/>
    </row>
    <row r="31" spans="1:10" x14ac:dyDescent="0.25">
      <c r="A31" s="32">
        <f t="shared" si="0"/>
        <v>23</v>
      </c>
      <c r="B31" s="29"/>
      <c r="C31" s="29"/>
      <c r="D31" s="40"/>
      <c r="E31" s="41"/>
      <c r="F31" s="29"/>
      <c r="G31" s="29"/>
      <c r="H31" s="29"/>
      <c r="I31" s="37"/>
      <c r="J31" s="33"/>
    </row>
    <row r="32" spans="1:10" x14ac:dyDescent="0.25">
      <c r="A32" s="32">
        <f t="shared" si="0"/>
        <v>24</v>
      </c>
      <c r="B32" s="29"/>
      <c r="C32" s="29"/>
      <c r="D32" s="40"/>
      <c r="E32" s="41"/>
      <c r="F32" s="29"/>
      <c r="G32" s="29"/>
      <c r="H32" s="29"/>
      <c r="I32" s="37"/>
      <c r="J32" s="33"/>
    </row>
    <row r="33" spans="1:10" x14ac:dyDescent="0.25">
      <c r="A33" s="32">
        <f t="shared" si="0"/>
        <v>25</v>
      </c>
      <c r="B33" s="29"/>
      <c r="C33" s="29"/>
      <c r="D33" s="40"/>
      <c r="E33" s="41"/>
      <c r="F33" s="29"/>
      <c r="G33" s="29"/>
      <c r="H33" s="29"/>
      <c r="I33" s="37"/>
      <c r="J33" s="33"/>
    </row>
    <row r="34" spans="1:10" x14ac:dyDescent="0.25">
      <c r="A34" s="32">
        <f t="shared" si="0"/>
        <v>26</v>
      </c>
      <c r="B34" s="29"/>
      <c r="C34" s="29"/>
      <c r="D34" s="40"/>
      <c r="E34" s="41"/>
      <c r="F34" s="29"/>
      <c r="G34" s="29"/>
      <c r="H34" s="29"/>
      <c r="I34" s="37"/>
      <c r="J34" s="33"/>
    </row>
    <row r="35" spans="1:10" x14ac:dyDescent="0.25">
      <c r="A35" s="32">
        <f t="shared" si="0"/>
        <v>27</v>
      </c>
      <c r="B35" s="29"/>
      <c r="C35" s="29"/>
      <c r="D35" s="40"/>
      <c r="E35" s="41"/>
      <c r="F35" s="29"/>
      <c r="G35" s="29"/>
      <c r="H35" s="29"/>
      <c r="I35" s="37"/>
      <c r="J35" s="33"/>
    </row>
    <row r="36" spans="1:10" x14ac:dyDescent="0.25">
      <c r="A36" s="32">
        <f t="shared" si="0"/>
        <v>28</v>
      </c>
      <c r="B36" s="29"/>
      <c r="C36" s="29"/>
      <c r="D36" s="40"/>
      <c r="E36" s="41"/>
      <c r="F36" s="29"/>
      <c r="G36" s="29"/>
      <c r="H36" s="29"/>
      <c r="I36" s="37"/>
      <c r="J36" s="33"/>
    </row>
    <row r="37" spans="1:10" x14ac:dyDescent="0.25">
      <c r="A37" s="32">
        <f t="shared" si="0"/>
        <v>29</v>
      </c>
      <c r="B37" s="29"/>
      <c r="C37" s="29"/>
      <c r="D37" s="40"/>
      <c r="E37" s="41"/>
      <c r="F37" s="29"/>
      <c r="G37" s="29"/>
      <c r="H37" s="29"/>
      <c r="I37" s="37"/>
      <c r="J37" s="33"/>
    </row>
    <row r="38" spans="1:10" x14ac:dyDescent="0.25">
      <c r="A38" s="32">
        <f t="shared" si="0"/>
        <v>30</v>
      </c>
      <c r="B38" s="29"/>
      <c r="C38" s="29"/>
      <c r="D38" s="40"/>
      <c r="E38" s="41"/>
      <c r="F38" s="29"/>
      <c r="G38" s="29"/>
      <c r="H38" s="29"/>
      <c r="I38" s="37"/>
      <c r="J38" s="33"/>
    </row>
    <row r="39" spans="1:10" x14ac:dyDescent="0.25">
      <c r="A39" s="32">
        <f t="shared" si="0"/>
        <v>31</v>
      </c>
      <c r="B39" s="29"/>
      <c r="C39" s="29"/>
      <c r="D39" s="40"/>
      <c r="E39" s="41"/>
      <c r="F39" s="29"/>
      <c r="G39" s="29"/>
      <c r="H39" s="29"/>
      <c r="I39" s="37"/>
      <c r="J39" s="33"/>
    </row>
    <row r="40" spans="1:10" s="3" customFormat="1" ht="15.75" thickBot="1" x14ac:dyDescent="0.3">
      <c r="A40" s="34"/>
      <c r="B40" s="27"/>
      <c r="C40" s="63"/>
      <c r="D40" s="63"/>
      <c r="E40" s="27"/>
      <c r="F40" s="27"/>
      <c r="G40" s="27"/>
      <c r="H40" s="27"/>
      <c r="I40" s="27"/>
      <c r="J40" s="28"/>
    </row>
    <row r="42" spans="1:10" x14ac:dyDescent="0.25">
      <c r="A42" t="s">
        <v>62</v>
      </c>
    </row>
  </sheetData>
  <mergeCells count="47">
    <mergeCell ref="D32:E32"/>
    <mergeCell ref="D21:E21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39:E39"/>
    <mergeCell ref="C40:D40"/>
    <mergeCell ref="D33:E33"/>
    <mergeCell ref="D34:E34"/>
    <mergeCell ref="D35:E35"/>
    <mergeCell ref="D36:E36"/>
    <mergeCell ref="D37:E37"/>
    <mergeCell ref="D38:E38"/>
    <mergeCell ref="D20:E20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7:E8"/>
    <mergeCell ref="A1:J1"/>
    <mergeCell ref="A2:J2"/>
    <mergeCell ref="A3:C3"/>
    <mergeCell ref="A4:C4"/>
    <mergeCell ref="I7:I8"/>
    <mergeCell ref="F7:F8"/>
    <mergeCell ref="A5:C5"/>
    <mergeCell ref="A6:C6"/>
    <mergeCell ref="A7:A8"/>
    <mergeCell ref="B7:B8"/>
    <mergeCell ref="C7:C8"/>
    <mergeCell ref="G7:G8"/>
    <mergeCell ref="H7:H8"/>
    <mergeCell ref="J7:J8"/>
  </mergeCells>
  <pageMargins left="0.70866141732283472" right="0.27559055118110237" top="0.31496062992125984" bottom="0.11811023622047245" header="0.31496062992125984" footer="0.11811023622047245"/>
  <pageSetup paperSize="9" scale="9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146D-B96C-45C0-BB41-8F3B75428EB4}">
  <dimension ref="A1:R40"/>
  <sheetViews>
    <sheetView tabSelected="1" view="pageBreakPreview" zoomScale="136" zoomScaleNormal="97" workbookViewId="0">
      <selection activeCell="G4" sqref="G4:H4"/>
    </sheetView>
  </sheetViews>
  <sheetFormatPr defaultRowHeight="15" x14ac:dyDescent="0.25"/>
  <cols>
    <col min="1" max="1" width="5.7109375" bestFit="1" customWidth="1"/>
    <col min="2" max="2" width="11" bestFit="1" customWidth="1"/>
    <col min="3" max="3" width="8.28515625" style="94" bestFit="1" customWidth="1"/>
    <col min="4" max="4" width="11.85546875" style="94" customWidth="1"/>
    <col min="5" max="5" width="4.5703125" style="94" customWidth="1"/>
    <col min="6" max="8" width="9.42578125" style="94" bestFit="1" customWidth="1"/>
    <col min="9" max="9" width="11.5703125" style="94" customWidth="1"/>
    <col min="10" max="10" width="9.140625" style="94" bestFit="1" customWidth="1"/>
    <col min="11" max="11" width="8.7109375" style="94" customWidth="1"/>
    <col min="12" max="12" width="10.140625" style="94" bestFit="1" customWidth="1"/>
    <col min="13" max="13" width="15.85546875" customWidth="1"/>
    <col min="14" max="14" width="11" bestFit="1" customWidth="1"/>
    <col min="15" max="16" width="11.7109375" bestFit="1" customWidth="1"/>
  </cols>
  <sheetData>
    <row r="1" spans="1:18" ht="15.75" thickBot="1" x14ac:dyDescent="0.3">
      <c r="A1" s="46" t="s">
        <v>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8"/>
    </row>
    <row r="2" spans="1:18" x14ac:dyDescent="0.25">
      <c r="A2" s="49" t="s">
        <v>49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1"/>
    </row>
    <row r="3" spans="1:18" x14ac:dyDescent="0.25">
      <c r="A3" s="58" t="s">
        <v>54</v>
      </c>
      <c r="B3" s="59"/>
      <c r="C3" s="59"/>
      <c r="D3" t="s">
        <v>80</v>
      </c>
      <c r="E3"/>
      <c r="F3"/>
      <c r="G3" s="59"/>
      <c r="H3" s="59"/>
      <c r="I3" s="6"/>
      <c r="J3"/>
      <c r="K3"/>
      <c r="L3"/>
      <c r="R3" s="2"/>
    </row>
    <row r="4" spans="1:18" x14ac:dyDescent="0.25">
      <c r="A4" s="58" t="s">
        <v>55</v>
      </c>
      <c r="B4" s="59"/>
      <c r="C4" s="59"/>
      <c r="D4" t="str">
        <f>TEXT(B9,"mmm-yy")</f>
        <v>Jan-00</v>
      </c>
      <c r="E4"/>
      <c r="F4"/>
      <c r="G4" s="59"/>
      <c r="H4" s="59"/>
      <c r="I4" s="6"/>
      <c r="J4"/>
      <c r="K4"/>
      <c r="L4"/>
      <c r="R4" s="2"/>
    </row>
    <row r="5" spans="1:18" x14ac:dyDescent="0.25">
      <c r="A5" s="58" t="s">
        <v>56</v>
      </c>
      <c r="B5" s="59"/>
      <c r="C5" s="59"/>
      <c r="D5" t="s">
        <v>81</v>
      </c>
      <c r="E5"/>
      <c r="F5"/>
      <c r="G5"/>
      <c r="H5" s="6"/>
      <c r="I5" s="6"/>
      <c r="J5"/>
      <c r="K5"/>
      <c r="L5"/>
      <c r="R5" s="2"/>
    </row>
    <row r="6" spans="1:18" ht="15.75" thickBot="1" x14ac:dyDescent="0.3">
      <c r="A6" s="58"/>
      <c r="B6" s="59"/>
      <c r="C6" s="59"/>
      <c r="D6"/>
      <c r="E6"/>
      <c r="F6"/>
      <c r="G6"/>
      <c r="H6" s="6"/>
      <c r="I6" s="6"/>
      <c r="J6"/>
      <c r="K6"/>
      <c r="L6"/>
      <c r="R6" s="2"/>
    </row>
    <row r="7" spans="1:18" ht="15.75" thickBot="1" x14ac:dyDescent="0.3">
      <c r="A7" s="52" t="s">
        <v>2</v>
      </c>
      <c r="B7" s="52" t="s">
        <v>0</v>
      </c>
      <c r="C7" s="52" t="s">
        <v>44</v>
      </c>
      <c r="D7" s="54" t="s">
        <v>51</v>
      </c>
      <c r="E7" s="55"/>
      <c r="F7" s="60" t="s">
        <v>52</v>
      </c>
      <c r="G7" s="61"/>
      <c r="H7" s="61"/>
      <c r="I7" s="44" t="s">
        <v>53</v>
      </c>
      <c r="J7" s="60" t="s">
        <v>57</v>
      </c>
      <c r="K7" s="61"/>
      <c r="L7" s="62"/>
      <c r="M7" s="52" t="s">
        <v>48</v>
      </c>
      <c r="N7" s="44" t="s">
        <v>50</v>
      </c>
      <c r="O7" s="44" t="s">
        <v>63</v>
      </c>
      <c r="P7" s="44" t="s">
        <v>64</v>
      </c>
      <c r="Q7" s="52" t="s">
        <v>6</v>
      </c>
      <c r="R7" s="52" t="s">
        <v>17</v>
      </c>
    </row>
    <row r="8" spans="1:18" ht="15.75" customHeight="1" thickBot="1" x14ac:dyDescent="0.3">
      <c r="A8" s="53"/>
      <c r="B8" s="53"/>
      <c r="C8" s="53"/>
      <c r="D8" s="56"/>
      <c r="E8" s="57"/>
      <c r="F8" s="36"/>
      <c r="G8" s="36"/>
      <c r="H8" s="35"/>
      <c r="I8" s="45"/>
      <c r="J8" s="36" t="s">
        <v>45</v>
      </c>
      <c r="K8" s="36" t="s">
        <v>46</v>
      </c>
      <c r="L8" s="36" t="s">
        <v>47</v>
      </c>
      <c r="M8" s="53"/>
      <c r="N8" s="45"/>
      <c r="O8" s="45"/>
      <c r="P8" s="45"/>
      <c r="Q8" s="53"/>
      <c r="R8" s="53"/>
    </row>
    <row r="9" spans="1:18" x14ac:dyDescent="0.25">
      <c r="A9" s="31">
        <v>1</v>
      </c>
      <c r="B9" s="82"/>
      <c r="C9" s="83" t="str">
        <f>TEXT(B9,"ddd")</f>
        <v>Sat</v>
      </c>
      <c r="D9" s="84"/>
      <c r="E9" s="85"/>
      <c r="F9" s="83">
        <v>0</v>
      </c>
      <c r="G9" s="83">
        <v>0</v>
      </c>
      <c r="H9" s="86">
        <v>0</v>
      </c>
      <c r="I9" s="86">
        <f>SUM(D9:H9)</f>
        <v>0</v>
      </c>
      <c r="J9" s="86"/>
      <c r="K9" s="83"/>
      <c r="L9" s="83">
        <f>+I9-J9-K9</f>
        <v>0</v>
      </c>
      <c r="M9" s="30"/>
      <c r="N9" s="82"/>
      <c r="O9" s="95">
        <v>422400</v>
      </c>
      <c r="P9" s="95">
        <f>+I9-O9</f>
        <v>-422400</v>
      </c>
      <c r="Q9" s="37" t="s">
        <v>78</v>
      </c>
      <c r="R9" s="33"/>
    </row>
    <row r="10" spans="1:18" x14ac:dyDescent="0.25">
      <c r="A10" s="32">
        <f t="shared" ref="A10:A39" si="0">+A9+1</f>
        <v>2</v>
      </c>
      <c r="B10" s="29"/>
      <c r="C10" s="87"/>
      <c r="D10" s="88"/>
      <c r="E10" s="89"/>
      <c r="F10" s="87"/>
      <c r="G10" s="87"/>
      <c r="H10" s="90"/>
      <c r="I10" s="90"/>
      <c r="J10" s="90"/>
      <c r="K10" s="87"/>
      <c r="L10" s="87"/>
      <c r="M10" s="29"/>
      <c r="N10" s="29"/>
      <c r="O10" s="95"/>
      <c r="P10" s="95"/>
      <c r="Q10" s="37"/>
      <c r="R10" s="33"/>
    </row>
    <row r="11" spans="1:18" x14ac:dyDescent="0.25">
      <c r="A11" s="32">
        <f t="shared" si="0"/>
        <v>3</v>
      </c>
      <c r="B11" s="29"/>
      <c r="C11" s="87"/>
      <c r="D11" s="88"/>
      <c r="E11" s="89"/>
      <c r="F11" s="87"/>
      <c r="G11" s="87"/>
      <c r="H11" s="90"/>
      <c r="I11" s="90"/>
      <c r="J11" s="90"/>
      <c r="K11" s="87"/>
      <c r="L11" s="87"/>
      <c r="M11" s="29"/>
      <c r="N11" s="29"/>
      <c r="O11" s="95"/>
      <c r="P11" s="95"/>
      <c r="Q11" s="37"/>
      <c r="R11" s="33"/>
    </row>
    <row r="12" spans="1:18" x14ac:dyDescent="0.25">
      <c r="A12" s="32">
        <f t="shared" si="0"/>
        <v>4</v>
      </c>
      <c r="B12" s="29"/>
      <c r="C12" s="87"/>
      <c r="D12" s="88"/>
      <c r="E12" s="89"/>
      <c r="F12" s="87"/>
      <c r="G12" s="87"/>
      <c r="H12" s="90"/>
      <c r="I12" s="90"/>
      <c r="J12" s="90"/>
      <c r="K12" s="87"/>
      <c r="L12" s="87"/>
      <c r="M12" s="29"/>
      <c r="N12" s="29"/>
      <c r="O12" s="95"/>
      <c r="P12" s="95"/>
      <c r="Q12" s="37"/>
      <c r="R12" s="33"/>
    </row>
    <row r="13" spans="1:18" x14ac:dyDescent="0.25">
      <c r="A13" s="32">
        <f t="shared" si="0"/>
        <v>5</v>
      </c>
      <c r="B13" s="29"/>
      <c r="C13" s="87"/>
      <c r="D13" s="88"/>
      <c r="E13" s="89"/>
      <c r="F13" s="87"/>
      <c r="G13" s="87"/>
      <c r="H13" s="90"/>
      <c r="I13" s="90"/>
      <c r="J13" s="90"/>
      <c r="K13" s="87"/>
      <c r="L13" s="87"/>
      <c r="M13" s="29"/>
      <c r="N13" s="29"/>
      <c r="O13" s="95"/>
      <c r="P13" s="95"/>
      <c r="Q13" s="37"/>
      <c r="R13" s="33"/>
    </row>
    <row r="14" spans="1:18" x14ac:dyDescent="0.25">
      <c r="A14" s="32">
        <f t="shared" si="0"/>
        <v>6</v>
      </c>
      <c r="B14" s="29"/>
      <c r="C14" s="87"/>
      <c r="D14" s="88"/>
      <c r="E14" s="89"/>
      <c r="F14" s="87"/>
      <c r="G14" s="87"/>
      <c r="H14" s="90"/>
      <c r="I14" s="90"/>
      <c r="J14" s="90"/>
      <c r="K14" s="87"/>
      <c r="L14" s="87"/>
      <c r="M14" s="29"/>
      <c r="N14" s="29"/>
      <c r="O14" s="95"/>
      <c r="P14" s="95"/>
      <c r="Q14" s="37"/>
      <c r="R14" s="33"/>
    </row>
    <row r="15" spans="1:18" x14ac:dyDescent="0.25">
      <c r="A15" s="32">
        <f t="shared" si="0"/>
        <v>7</v>
      </c>
      <c r="B15" s="29"/>
      <c r="C15" s="87"/>
      <c r="D15" s="88"/>
      <c r="E15" s="89"/>
      <c r="F15" s="87"/>
      <c r="G15" s="87"/>
      <c r="H15" s="90"/>
      <c r="I15" s="90"/>
      <c r="J15" s="90"/>
      <c r="K15" s="87"/>
      <c r="L15" s="87"/>
      <c r="M15" s="29"/>
      <c r="N15" s="29"/>
      <c r="O15" s="95"/>
      <c r="P15" s="95"/>
      <c r="Q15" s="37"/>
      <c r="R15" s="33"/>
    </row>
    <row r="16" spans="1:18" x14ac:dyDescent="0.25">
      <c r="A16" s="32">
        <f t="shared" si="0"/>
        <v>8</v>
      </c>
      <c r="B16" s="29"/>
      <c r="C16" s="87"/>
      <c r="D16" s="88"/>
      <c r="E16" s="89"/>
      <c r="F16" s="87"/>
      <c r="G16" s="87"/>
      <c r="H16" s="90"/>
      <c r="I16" s="90"/>
      <c r="J16" s="90"/>
      <c r="K16" s="87"/>
      <c r="L16" s="87"/>
      <c r="M16" s="29"/>
      <c r="N16" s="29"/>
      <c r="O16" s="95"/>
      <c r="P16" s="95"/>
      <c r="Q16" s="37"/>
      <c r="R16" s="33"/>
    </row>
    <row r="17" spans="1:18" x14ac:dyDescent="0.25">
      <c r="A17" s="32">
        <f t="shared" si="0"/>
        <v>9</v>
      </c>
      <c r="B17" s="29"/>
      <c r="C17" s="87"/>
      <c r="D17" s="88"/>
      <c r="E17" s="89"/>
      <c r="F17" s="87"/>
      <c r="G17" s="87"/>
      <c r="H17" s="90"/>
      <c r="I17" s="90"/>
      <c r="J17" s="90"/>
      <c r="K17" s="87"/>
      <c r="L17" s="87"/>
      <c r="M17" s="29"/>
      <c r="N17" s="29"/>
      <c r="O17" s="95"/>
      <c r="P17" s="95"/>
      <c r="Q17" s="37"/>
      <c r="R17" s="33"/>
    </row>
    <row r="18" spans="1:18" x14ac:dyDescent="0.25">
      <c r="A18" s="32">
        <f t="shared" si="0"/>
        <v>10</v>
      </c>
      <c r="B18" s="29"/>
      <c r="C18" s="87"/>
      <c r="D18" s="88"/>
      <c r="E18" s="89"/>
      <c r="F18" s="87"/>
      <c r="G18" s="87"/>
      <c r="H18" s="90"/>
      <c r="I18" s="90"/>
      <c r="J18" s="90"/>
      <c r="K18" s="87"/>
      <c r="L18" s="87"/>
      <c r="M18" s="29"/>
      <c r="N18" s="29"/>
      <c r="O18" s="95"/>
      <c r="P18" s="95"/>
      <c r="Q18" s="37"/>
      <c r="R18" s="33"/>
    </row>
    <row r="19" spans="1:18" x14ac:dyDescent="0.25">
      <c r="A19" s="32">
        <f t="shared" si="0"/>
        <v>11</v>
      </c>
      <c r="B19" s="29"/>
      <c r="C19" s="87"/>
      <c r="D19" s="88"/>
      <c r="E19" s="89"/>
      <c r="F19" s="87"/>
      <c r="G19" s="87"/>
      <c r="H19" s="90"/>
      <c r="I19" s="90"/>
      <c r="J19" s="90"/>
      <c r="K19" s="87"/>
      <c r="L19" s="87"/>
      <c r="M19" s="29"/>
      <c r="N19" s="29"/>
      <c r="O19" s="95"/>
      <c r="P19" s="95"/>
      <c r="Q19" s="37"/>
      <c r="R19" s="33"/>
    </row>
    <row r="20" spans="1:18" x14ac:dyDescent="0.25">
      <c r="A20" s="32">
        <f t="shared" si="0"/>
        <v>12</v>
      </c>
      <c r="B20" s="29"/>
      <c r="C20" s="87"/>
      <c r="D20" s="88"/>
      <c r="E20" s="89"/>
      <c r="F20" s="87"/>
      <c r="G20" s="87"/>
      <c r="H20" s="90"/>
      <c r="I20" s="90"/>
      <c r="J20" s="90"/>
      <c r="K20" s="87"/>
      <c r="L20" s="87"/>
      <c r="M20" s="29"/>
      <c r="N20" s="29"/>
      <c r="O20" s="95"/>
      <c r="P20" s="95"/>
      <c r="Q20" s="37"/>
      <c r="R20" s="33"/>
    </row>
    <row r="21" spans="1:18" x14ac:dyDescent="0.25">
      <c r="A21" s="32">
        <f t="shared" si="0"/>
        <v>13</v>
      </c>
      <c r="B21" s="29"/>
      <c r="C21" s="87"/>
      <c r="D21" s="88"/>
      <c r="E21" s="89"/>
      <c r="F21" s="87"/>
      <c r="G21" s="87"/>
      <c r="H21" s="90"/>
      <c r="I21" s="90"/>
      <c r="J21" s="90"/>
      <c r="K21" s="87"/>
      <c r="L21" s="87"/>
      <c r="M21" s="29"/>
      <c r="N21" s="29"/>
      <c r="O21" s="95"/>
      <c r="P21" s="95"/>
      <c r="Q21" s="37"/>
      <c r="R21" s="33"/>
    </row>
    <row r="22" spans="1:18" x14ac:dyDescent="0.25">
      <c r="A22" s="32">
        <f t="shared" si="0"/>
        <v>14</v>
      </c>
      <c r="B22" s="29"/>
      <c r="C22" s="87"/>
      <c r="D22" s="88"/>
      <c r="E22" s="89"/>
      <c r="F22" s="87"/>
      <c r="G22" s="87"/>
      <c r="H22" s="90"/>
      <c r="I22" s="90"/>
      <c r="J22" s="90"/>
      <c r="K22" s="87"/>
      <c r="L22" s="87"/>
      <c r="M22" s="29"/>
      <c r="N22" s="29"/>
      <c r="O22" s="95"/>
      <c r="P22" s="95"/>
      <c r="Q22" s="37"/>
      <c r="R22" s="33"/>
    </row>
    <row r="23" spans="1:18" x14ac:dyDescent="0.25">
      <c r="A23" s="32">
        <f t="shared" si="0"/>
        <v>15</v>
      </c>
      <c r="B23" s="29"/>
      <c r="C23" s="87"/>
      <c r="D23" s="88"/>
      <c r="E23" s="89"/>
      <c r="F23" s="87"/>
      <c r="G23" s="87"/>
      <c r="H23" s="90"/>
      <c r="I23" s="90"/>
      <c r="J23" s="90"/>
      <c r="K23" s="87"/>
      <c r="L23" s="87"/>
      <c r="M23" s="29"/>
      <c r="N23" s="29"/>
      <c r="O23" s="95"/>
      <c r="P23" s="95"/>
      <c r="Q23" s="37"/>
      <c r="R23" s="33"/>
    </row>
    <row r="24" spans="1:18" x14ac:dyDescent="0.25">
      <c r="A24" s="32">
        <f t="shared" si="0"/>
        <v>16</v>
      </c>
      <c r="B24" s="29"/>
      <c r="C24" s="87"/>
      <c r="D24" s="88"/>
      <c r="E24" s="89"/>
      <c r="F24" s="87"/>
      <c r="G24" s="87"/>
      <c r="H24" s="90"/>
      <c r="I24" s="90"/>
      <c r="J24" s="90"/>
      <c r="K24" s="87"/>
      <c r="L24" s="87"/>
      <c r="M24" s="29"/>
      <c r="N24" s="29"/>
      <c r="O24" s="95"/>
      <c r="P24" s="95"/>
      <c r="Q24" s="37"/>
      <c r="R24" s="33"/>
    </row>
    <row r="25" spans="1:18" x14ac:dyDescent="0.25">
      <c r="A25" s="32">
        <f t="shared" si="0"/>
        <v>17</v>
      </c>
      <c r="B25" s="29"/>
      <c r="C25" s="87"/>
      <c r="D25" s="88"/>
      <c r="E25" s="89"/>
      <c r="F25" s="87"/>
      <c r="G25" s="87"/>
      <c r="H25" s="90"/>
      <c r="I25" s="90"/>
      <c r="J25" s="87"/>
      <c r="K25" s="87"/>
      <c r="L25" s="87"/>
      <c r="M25" s="29"/>
      <c r="N25" s="29"/>
      <c r="O25" s="95"/>
      <c r="P25" s="95"/>
      <c r="Q25" s="37"/>
      <c r="R25" s="33"/>
    </row>
    <row r="26" spans="1:18" x14ac:dyDescent="0.25">
      <c r="A26" s="32">
        <f t="shared" si="0"/>
        <v>18</v>
      </c>
      <c r="B26" s="29"/>
      <c r="C26" s="87"/>
      <c r="D26" s="88"/>
      <c r="E26" s="89"/>
      <c r="F26" s="87"/>
      <c r="G26" s="87"/>
      <c r="H26" s="90"/>
      <c r="I26" s="90"/>
      <c r="J26" s="87"/>
      <c r="K26" s="87"/>
      <c r="L26" s="87"/>
      <c r="M26" s="29"/>
      <c r="N26" s="29"/>
      <c r="O26" s="37"/>
      <c r="P26" s="37"/>
      <c r="Q26" s="37"/>
      <c r="R26" s="33"/>
    </row>
    <row r="27" spans="1:18" x14ac:dyDescent="0.25">
      <c r="A27" s="32">
        <f t="shared" si="0"/>
        <v>19</v>
      </c>
      <c r="B27" s="29"/>
      <c r="C27" s="87"/>
      <c r="D27" s="88"/>
      <c r="E27" s="89"/>
      <c r="F27" s="87"/>
      <c r="G27" s="87"/>
      <c r="H27" s="90"/>
      <c r="I27" s="90"/>
      <c r="J27" s="87"/>
      <c r="K27" s="87"/>
      <c r="L27" s="87"/>
      <c r="M27" s="29"/>
      <c r="N27" s="29"/>
      <c r="O27" s="37"/>
      <c r="P27" s="37"/>
      <c r="Q27" s="37"/>
      <c r="R27" s="33"/>
    </row>
    <row r="28" spans="1:18" x14ac:dyDescent="0.25">
      <c r="A28" s="32">
        <f t="shared" si="0"/>
        <v>20</v>
      </c>
      <c r="B28" s="29"/>
      <c r="C28" s="87"/>
      <c r="D28" s="88"/>
      <c r="E28" s="89"/>
      <c r="F28" s="87"/>
      <c r="G28" s="87"/>
      <c r="H28" s="90"/>
      <c r="I28" s="90"/>
      <c r="J28" s="87"/>
      <c r="K28" s="87"/>
      <c r="L28" s="87"/>
      <c r="M28" s="29"/>
      <c r="N28" s="29"/>
      <c r="O28" s="37"/>
      <c r="P28" s="37"/>
      <c r="Q28" s="37"/>
      <c r="R28" s="33"/>
    </row>
    <row r="29" spans="1:18" x14ac:dyDescent="0.25">
      <c r="A29" s="32">
        <f t="shared" si="0"/>
        <v>21</v>
      </c>
      <c r="B29" s="29"/>
      <c r="C29" s="87"/>
      <c r="D29" s="88"/>
      <c r="E29" s="89"/>
      <c r="F29" s="87"/>
      <c r="G29" s="87"/>
      <c r="H29" s="90"/>
      <c r="I29" s="90"/>
      <c r="J29" s="87"/>
      <c r="K29" s="87"/>
      <c r="L29" s="87"/>
      <c r="M29" s="29"/>
      <c r="N29" s="29"/>
      <c r="O29" s="37"/>
      <c r="P29" s="37"/>
      <c r="Q29" s="37"/>
      <c r="R29" s="33"/>
    </row>
    <row r="30" spans="1:18" x14ac:dyDescent="0.25">
      <c r="A30" s="32">
        <f t="shared" si="0"/>
        <v>22</v>
      </c>
      <c r="B30" s="29"/>
      <c r="C30" s="87"/>
      <c r="D30" s="88"/>
      <c r="E30" s="89"/>
      <c r="F30" s="87"/>
      <c r="G30" s="87"/>
      <c r="H30" s="90"/>
      <c r="I30" s="90"/>
      <c r="J30" s="87"/>
      <c r="K30" s="87"/>
      <c r="L30" s="87"/>
      <c r="M30" s="29"/>
      <c r="N30" s="29"/>
      <c r="O30" s="37"/>
      <c r="P30" s="37"/>
      <c r="Q30" s="37"/>
      <c r="R30" s="33"/>
    </row>
    <row r="31" spans="1:18" x14ac:dyDescent="0.25">
      <c r="A31" s="32">
        <f t="shared" si="0"/>
        <v>23</v>
      </c>
      <c r="B31" s="29"/>
      <c r="C31" s="87"/>
      <c r="D31" s="88"/>
      <c r="E31" s="89"/>
      <c r="F31" s="87"/>
      <c r="G31" s="87"/>
      <c r="H31" s="90"/>
      <c r="I31" s="90"/>
      <c r="J31" s="87"/>
      <c r="K31" s="87"/>
      <c r="L31" s="87"/>
      <c r="M31" s="29"/>
      <c r="N31" s="29"/>
      <c r="O31" s="37"/>
      <c r="P31" s="37"/>
      <c r="Q31" s="37"/>
      <c r="R31" s="33"/>
    </row>
    <row r="32" spans="1:18" x14ac:dyDescent="0.25">
      <c r="A32" s="32">
        <f t="shared" si="0"/>
        <v>24</v>
      </c>
      <c r="B32" s="29"/>
      <c r="C32" s="87"/>
      <c r="D32" s="88"/>
      <c r="E32" s="89"/>
      <c r="F32" s="87"/>
      <c r="G32" s="87"/>
      <c r="H32" s="90"/>
      <c r="I32" s="90"/>
      <c r="J32" s="87"/>
      <c r="K32" s="87"/>
      <c r="L32" s="87"/>
      <c r="M32" s="29"/>
      <c r="N32" s="29"/>
      <c r="O32" s="37"/>
      <c r="P32" s="37"/>
      <c r="Q32" s="37"/>
      <c r="R32" s="33"/>
    </row>
    <row r="33" spans="1:18" x14ac:dyDescent="0.25">
      <c r="A33" s="32">
        <f t="shared" si="0"/>
        <v>25</v>
      </c>
      <c r="B33" s="29"/>
      <c r="C33" s="87"/>
      <c r="D33" s="88"/>
      <c r="E33" s="89"/>
      <c r="F33" s="87"/>
      <c r="G33" s="87"/>
      <c r="H33" s="90"/>
      <c r="I33" s="90"/>
      <c r="J33" s="87"/>
      <c r="K33" s="87"/>
      <c r="L33" s="87"/>
      <c r="M33" s="29"/>
      <c r="N33" s="29"/>
      <c r="O33" s="37"/>
      <c r="P33" s="37"/>
      <c r="Q33" s="37"/>
      <c r="R33" s="33"/>
    </row>
    <row r="34" spans="1:18" x14ac:dyDescent="0.25">
      <c r="A34" s="32">
        <f t="shared" si="0"/>
        <v>26</v>
      </c>
      <c r="B34" s="29"/>
      <c r="C34" s="87"/>
      <c r="D34" s="88"/>
      <c r="E34" s="89"/>
      <c r="F34" s="87"/>
      <c r="G34" s="87"/>
      <c r="H34" s="90"/>
      <c r="I34" s="90"/>
      <c r="J34" s="87"/>
      <c r="K34" s="87"/>
      <c r="L34" s="87"/>
      <c r="M34" s="29"/>
      <c r="N34" s="29"/>
      <c r="O34" s="37"/>
      <c r="P34" s="37"/>
      <c r="Q34" s="37"/>
      <c r="R34" s="33"/>
    </row>
    <row r="35" spans="1:18" x14ac:dyDescent="0.25">
      <c r="A35" s="32">
        <f t="shared" si="0"/>
        <v>27</v>
      </c>
      <c r="B35" s="29"/>
      <c r="C35" s="87"/>
      <c r="D35" s="88"/>
      <c r="E35" s="89"/>
      <c r="F35" s="87"/>
      <c r="G35" s="87"/>
      <c r="H35" s="90"/>
      <c r="I35" s="90"/>
      <c r="J35" s="87"/>
      <c r="K35" s="87"/>
      <c r="L35" s="87"/>
      <c r="M35" s="29"/>
      <c r="N35" s="29"/>
      <c r="O35" s="37"/>
      <c r="P35" s="37"/>
      <c r="Q35" s="37"/>
      <c r="R35" s="33"/>
    </row>
    <row r="36" spans="1:18" x14ac:dyDescent="0.25">
      <c r="A36" s="32">
        <f t="shared" si="0"/>
        <v>28</v>
      </c>
      <c r="B36" s="29"/>
      <c r="C36" s="87"/>
      <c r="D36" s="88"/>
      <c r="E36" s="89"/>
      <c r="F36" s="87"/>
      <c r="G36" s="87"/>
      <c r="H36" s="90"/>
      <c r="I36" s="90"/>
      <c r="J36" s="87"/>
      <c r="K36" s="87"/>
      <c r="L36" s="87"/>
      <c r="M36" s="29"/>
      <c r="N36" s="29"/>
      <c r="O36" s="37"/>
      <c r="P36" s="37"/>
      <c r="Q36" s="37"/>
      <c r="R36" s="33"/>
    </row>
    <row r="37" spans="1:18" x14ac:dyDescent="0.25">
      <c r="A37" s="32">
        <f t="shared" si="0"/>
        <v>29</v>
      </c>
      <c r="B37" s="29"/>
      <c r="C37" s="87"/>
      <c r="D37" s="88"/>
      <c r="E37" s="89"/>
      <c r="F37" s="87"/>
      <c r="G37" s="87"/>
      <c r="H37" s="90"/>
      <c r="I37" s="90"/>
      <c r="J37" s="87"/>
      <c r="K37" s="87"/>
      <c r="L37" s="87"/>
      <c r="M37" s="29"/>
      <c r="N37" s="29"/>
      <c r="O37" s="37"/>
      <c r="P37" s="37"/>
      <c r="Q37" s="37"/>
      <c r="R37" s="33"/>
    </row>
    <row r="38" spans="1:18" x14ac:dyDescent="0.25">
      <c r="A38" s="32">
        <f t="shared" si="0"/>
        <v>30</v>
      </c>
      <c r="B38" s="29"/>
      <c r="C38" s="87"/>
      <c r="D38" s="88"/>
      <c r="E38" s="89"/>
      <c r="F38" s="87"/>
      <c r="G38" s="87"/>
      <c r="H38" s="90"/>
      <c r="I38" s="90"/>
      <c r="J38" s="87"/>
      <c r="K38" s="87"/>
      <c r="L38" s="87"/>
      <c r="M38" s="29"/>
      <c r="N38" s="29"/>
      <c r="O38" s="37"/>
      <c r="P38" s="37"/>
      <c r="Q38" s="37"/>
      <c r="R38" s="33"/>
    </row>
    <row r="39" spans="1:18" x14ac:dyDescent="0.25">
      <c r="A39" s="32">
        <f t="shared" si="0"/>
        <v>31</v>
      </c>
      <c r="B39" s="29"/>
      <c r="C39" s="87"/>
      <c r="D39" s="88"/>
      <c r="E39" s="89"/>
      <c r="F39" s="87"/>
      <c r="G39" s="87"/>
      <c r="H39" s="90"/>
      <c r="I39" s="90"/>
      <c r="J39" s="87"/>
      <c r="K39" s="87"/>
      <c r="L39" s="87"/>
      <c r="M39" s="29"/>
      <c r="N39" s="29"/>
      <c r="O39" s="37"/>
      <c r="P39" s="37"/>
      <c r="Q39" s="37"/>
      <c r="R39" s="33"/>
    </row>
    <row r="40" spans="1:18" s="3" customFormat="1" ht="15.75" thickBot="1" x14ac:dyDescent="0.3">
      <c r="A40" s="34"/>
      <c r="B40" s="27"/>
      <c r="C40" s="91"/>
      <c r="D40" s="91"/>
      <c r="E40" s="92"/>
      <c r="F40" s="92"/>
      <c r="G40" s="92"/>
      <c r="H40" s="92"/>
      <c r="I40" s="92"/>
      <c r="J40" s="93"/>
      <c r="K40" s="92"/>
      <c r="L40" s="92"/>
      <c r="M40" s="27"/>
      <c r="N40" s="27"/>
      <c r="O40" s="27"/>
      <c r="P40" s="27"/>
      <c r="Q40" s="27"/>
      <c r="R40" s="28"/>
    </row>
  </sheetData>
  <mergeCells count="53">
    <mergeCell ref="D36:E36"/>
    <mergeCell ref="D37:E37"/>
    <mergeCell ref="D38:E38"/>
    <mergeCell ref="D39:E39"/>
    <mergeCell ref="C40:D40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18:E18"/>
    <mergeCell ref="D19:E19"/>
    <mergeCell ref="D20:E20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P7:P8"/>
    <mergeCell ref="Q7:Q8"/>
    <mergeCell ref="R7:R8"/>
    <mergeCell ref="D9:E9"/>
    <mergeCell ref="D10:E10"/>
    <mergeCell ref="D11:E11"/>
    <mergeCell ref="F7:H7"/>
    <mergeCell ref="I7:I8"/>
    <mergeCell ref="J7:L7"/>
    <mergeCell ref="M7:M8"/>
    <mergeCell ref="N7:N8"/>
    <mergeCell ref="O7:O8"/>
    <mergeCell ref="A5:C5"/>
    <mergeCell ref="A6:C6"/>
    <mergeCell ref="A7:A8"/>
    <mergeCell ref="B7:B8"/>
    <mergeCell ref="C7:C8"/>
    <mergeCell ref="D7:E8"/>
    <mergeCell ref="A1:R1"/>
    <mergeCell ref="A2:R2"/>
    <mergeCell ref="A3:C3"/>
    <mergeCell ref="G3:H3"/>
    <mergeCell ref="A4:C4"/>
    <mergeCell ref="G4:H4"/>
  </mergeCells>
  <conditionalFormatting sqref="L9:L26">
    <cfRule type="cellIs" dxfId="0" priority="1" operator="greaterThan">
      <formula>0</formula>
    </cfRule>
    <cfRule type="cellIs" dxfId="1" priority="2" operator="equal">
      <formula>0</formula>
    </cfRule>
  </conditionalFormatting>
  <pageMargins left="0.12" right="0.28000000000000003" top="0.31" bottom="0.12" header="0.3" footer="0.12"/>
  <pageSetup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Live Weight</vt:lpstr>
      <vt:lpstr>Shop sales (2)</vt:lpstr>
      <vt:lpstr>Kigamboni</vt:lpstr>
      <vt:lpstr>Utumbo</vt:lpstr>
      <vt:lpstr>Kisutu</vt:lpstr>
      <vt:lpstr>Kigamboni!Print_Area</vt:lpstr>
      <vt:lpstr>Kisutu!Print_Area</vt:lpstr>
      <vt:lpstr>'Live Weight'!Print_Area</vt:lpstr>
      <vt:lpstr>'Shop sales (2)'!Print_Area</vt:lpstr>
      <vt:lpstr>Utumbo!Print_Area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Meda</dc:creator>
  <cp:lastModifiedBy>Harish Meda</cp:lastModifiedBy>
  <cp:lastPrinted>2026-01-28T06:40:03Z</cp:lastPrinted>
  <dcterms:created xsi:type="dcterms:W3CDTF">2015-06-05T18:17:20Z</dcterms:created>
  <dcterms:modified xsi:type="dcterms:W3CDTF">2026-01-28T06:46:47Z</dcterms:modified>
</cp:coreProperties>
</file>